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panjalu\sandingtaman\"/>
    </mc:Choice>
  </mc:AlternateContent>
  <xr:revisionPtr revIDLastSave="0" documentId="13_ncr:1_{79AACC86-9A65-4927-97B0-4C138348DB9A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D2" i="1"/>
  <c r="E2" i="1"/>
  <c r="F2" i="1"/>
  <c r="G2" i="1"/>
  <c r="D3" i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</calcChain>
</file>

<file path=xl/sharedStrings.xml><?xml version="1.0" encoding="utf-8"?>
<sst xmlns="http://schemas.openxmlformats.org/spreadsheetml/2006/main" count="98" uniqueCount="67">
  <si>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</si>
  <si>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</si>
  <si>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</si>
  <si>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</si>
  <si>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</si>
  <si>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</si>
  <si>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</si>
  <si>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</si>
  <si>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</si>
  <si>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</si>
  <si>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</si>
  <si>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</si>
  <si>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</si>
  <si>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</si>
  <si>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</si>
  <si>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</si>
  <si>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</si>
  <si>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</si>
  <si>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</si>
  <si>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</si>
  <si>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012</t>
  </si>
  <si>
    <t>013</t>
  </si>
  <si>
    <t>014</t>
  </si>
  <si>
    <t>Sindangjaya</t>
  </si>
  <si>
    <t>Sandingtaman</t>
  </si>
  <si>
    <t>Karoya</t>
  </si>
  <si>
    <t>Cipicung</t>
  </si>
  <si>
    <t>Nanggela</t>
  </si>
  <si>
    <t>Sanding</t>
  </si>
  <si>
    <t>Citaman</t>
  </si>
  <si>
    <t>Cidarma</t>
  </si>
  <si>
    <t>Kualitas jaringan telepon seluler buruk di beberapa area.</t>
  </si>
  <si>
    <t>Minimnya jalur sepeda membuat sulit bagi pengendara sepeda.</t>
  </si>
  <si>
    <t>Kelistrikan sering terganggu akibat cuaca ekstrem.</t>
  </si>
  <si>
    <t>Pembangunan trotoar yang tidak merata dan berbahaya.</t>
  </si>
  <si>
    <t>Tidak ada jalur khusus transportasi umum, menyebabkan kemacetan.</t>
  </si>
  <si>
    <t>Pipa air tua sering bocor dan mengganggu pasokan air.</t>
  </si>
  <si>
    <t>Keterbatasan aksesibilitas bagi penyandang disabilitas.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</si>
  <si>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</si>
  <si>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</si>
  <si>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</si>
  <si>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</si>
  <si>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</si>
  <si>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Tidak ada tempat penampungan untuk hewan jalanan di jalan.</t>
  </si>
  <si>
    <t>Minimnya tempat parkir untuk kendaraan umum di tempat kami.</t>
  </si>
  <si>
    <t>kendaraan umum yang sulit dijumpai di wilayah terpencil.</t>
  </si>
  <si>
    <t>kondisi jalan yang kumuh dan tidak terawat rawan-.</t>
  </si>
  <si>
    <t>2023-09-05</t>
  </si>
  <si>
    <t>2023-09-06</t>
  </si>
  <si>
    <t>2023-09-07</t>
  </si>
  <si>
    <t>2023-09-08</t>
  </si>
  <si>
    <t>IRUN</t>
  </si>
  <si>
    <t>ADE HAMDUN NAWAWI</t>
  </si>
  <si>
    <t>MUHAMMAD HASBY NAWAWI</t>
  </si>
  <si>
    <t>AAN ANDRIANAH</t>
  </si>
  <si>
    <t>SHEILA OCTAVIA</t>
  </si>
  <si>
    <t>JIBRIL BARAKAH</t>
  </si>
  <si>
    <t>AYET YETI</t>
  </si>
  <si>
    <t>DINA TAWAKALNI</t>
  </si>
  <si>
    <t>IRVAN NUGRAHA</t>
  </si>
  <si>
    <t>RIAN HERMAWAN</t>
  </si>
  <si>
    <t>RANI MAHARANI</t>
  </si>
  <si>
    <t>RAFLI SYAKIR HERMAWAN</t>
  </si>
  <si>
    <t>IWAN RIZKI MAULIDANI</t>
  </si>
  <si>
    <t>DAWUD</t>
  </si>
  <si>
    <t>DESI SARASTUTI</t>
  </si>
  <si>
    <t>DZIKRA MUHAMAD KHANAFI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</si>
</sst>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17"/>
  <sheetViews>
    <sheetView tabSelected="1" workbookViewId="0">
      <selection activeCell="H2" sqref="H2:H17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9" x14ac:dyDescent="0.35">
      <c r="A2">
        <v>1</v>
      </c>
      <c r="B2" s="1" t="s">
        <v>47</v>
      </c>
      <c r="C2" s="2" t="s">
        <v>51</v>
      </c>
      <c r="D2" s="2" t="str">
        <f ca="1">INDEX(conf!$B$2:$D$16,RANDBETWEEN(1,7),1)</f>
        <v>Sanding</v>
      </c>
      <c r="E2" s="2" t="str">
        <f ca="1">INDEX(conf!$B$2:$D$16,RANDBETWEEN(1,15),3)</f>
        <v>010</v>
      </c>
      <c r="F2" s="2" t="str">
        <f ca="1">INDEX(conf!$B$2:$D$16,RANDBETWEEN(1,15),2)</f>
        <v>009</v>
      </c>
      <c r="G2" s="3" t="str">
        <f>conf!$A$2</f>
        <v>Sandingtaman</v>
      </c>
      <c r="H2" t="s">
        <v>45</v>
      </c>
      <c r="I2">
        <f t="shared" ref="I2:I16" si="0">LEN(H2)</f>
        <v>56</v>
      </c>
    </row>
    <row r="3" spans="1:9" x14ac:dyDescent="0.35">
      <c r="A3">
        <v>2</v>
      </c>
      <c r="B3" s="1" t="s">
        <v>47</v>
      </c>
      <c r="C3" s="2" t="s">
        <v>52</v>
      </c>
      <c r="D3" s="2" t="str">
        <f ca="1">INDEX(conf!$B$2:$D$16,RANDBETWEEN(1,7),1)</f>
        <v>Citaman</v>
      </c>
      <c r="E3" s="2" t="str">
        <f ca="1">INDEX(conf!$B$2:$D$16,RANDBETWEEN(1,15),3)</f>
        <v>003</v>
      </c>
      <c r="F3" s="2" t="str">
        <f ca="1">INDEX(conf!$B$2:$D$16,RANDBETWEEN(1,15),2)</f>
        <v>003</v>
      </c>
      <c r="G3" s="3" t="str">
        <f>conf!$A$2</f>
        <v>Sandingtaman</v>
      </c>
      <c r="H3" t="s">
        <v>31</v>
      </c>
      <c r="I3">
        <f t="shared" si="0"/>
        <v>57</v>
      </c>
    </row>
    <row r="4" spans="1:9" x14ac:dyDescent="0.35">
      <c r="A4">
        <v>3</v>
      </c>
      <c r="B4" s="1" t="s">
        <v>47</v>
      </c>
      <c r="C4" s="2" t="s">
        <v>53</v>
      </c>
      <c r="D4" s="2" t="str">
        <f ca="1">INDEX(conf!$B$2:$D$16,RANDBETWEEN(1,7),1)</f>
        <v>Sanding</v>
      </c>
      <c r="E4" s="2" t="str">
        <f ca="1">INDEX(conf!$B$2:$D$16,RANDBETWEEN(1,15),3)</f>
        <v>011</v>
      </c>
      <c r="F4" s="2" t="str">
        <f ca="1">INDEX(conf!$B$2:$D$16,RANDBETWEEN(1,15),2)</f>
        <v>013</v>
      </c>
      <c r="G4" s="3" t="str">
        <f>conf!$A$2</f>
        <v>Sandingtaman</v>
      </c>
      <c r="H4" t="s">
        <v>32</v>
      </c>
      <c r="I4">
        <f t="shared" si="0"/>
        <v>59</v>
      </c>
    </row>
    <row r="5" spans="1:9" x14ac:dyDescent="0.35">
      <c r="A5">
        <v>4</v>
      </c>
      <c r="B5" s="1" t="s">
        <v>47</v>
      </c>
      <c r="C5" s="2" t="s">
        <v>54</v>
      </c>
      <c r="D5" s="2" t="str">
        <f ca="1">INDEX(conf!$B$2:$D$16,RANDBETWEEN(1,7),1)</f>
        <v>Sanding</v>
      </c>
      <c r="E5" s="2" t="str">
        <f ca="1">INDEX(conf!$B$2:$D$16,RANDBETWEEN(1,15),3)</f>
        <v>010</v>
      </c>
      <c r="F5" s="2" t="str">
        <f ca="1">INDEX(conf!$B$2:$D$16,RANDBETWEEN(1,15),2)</f>
        <v>010</v>
      </c>
      <c r="G5" s="3" t="str">
        <f>conf!$A$2</f>
        <v>Sandingtaman</v>
      </c>
      <c r="H5" t="s">
        <v>46</v>
      </c>
      <c r="I5">
        <f t="shared" si="0"/>
        <v>50</v>
      </c>
    </row>
    <row r="6" spans="1:9" x14ac:dyDescent="0.35">
      <c r="A6">
        <v>5</v>
      </c>
      <c r="B6" s="1" t="s">
        <v>48</v>
      </c>
      <c r="C6" s="2" t="s">
        <v>55</v>
      </c>
      <c r="D6" s="2" t="str">
        <f ca="1">INDEX(conf!$B$2:$D$16,RANDBETWEEN(1,7),1)</f>
        <v>Sanding</v>
      </c>
      <c r="E6" s="2" t="str">
        <f ca="1">INDEX(conf!$B$2:$D$16,RANDBETWEEN(1,15),3)</f>
        <v>015</v>
      </c>
      <c r="F6" s="2" t="str">
        <f ca="1">INDEX(conf!$B$2:$D$16,RANDBETWEEN(1,15),2)</f>
        <v>003</v>
      </c>
      <c r="G6" s="3" t="str">
        <f>conf!$A$2</f>
        <v>Sandingtaman</v>
      </c>
      <c r="H6" t="s">
        <v>33</v>
      </c>
      <c r="I6">
        <f t="shared" si="0"/>
        <v>50</v>
      </c>
    </row>
    <row r="7" spans="1:9" x14ac:dyDescent="0.35">
      <c r="A7">
        <v>6</v>
      </c>
      <c r="B7" s="1" t="s">
        <v>48</v>
      </c>
      <c r="C7" s="2" t="s">
        <v>56</v>
      </c>
      <c r="D7" s="2" t="str">
        <f ca="1">INDEX(conf!$B$2:$D$16,RANDBETWEEN(1,7),1)</f>
        <v>Cidarma</v>
      </c>
      <c r="E7" s="2" t="str">
        <f ca="1">INDEX(conf!$B$2:$D$16,RANDBETWEEN(1,15),3)</f>
        <v>004</v>
      </c>
      <c r="F7" s="2" t="str">
        <f ca="1">INDEX(conf!$B$2:$D$16,RANDBETWEEN(1,15),2)</f>
        <v>005</v>
      </c>
      <c r="G7" s="3" t="str">
        <f>conf!$A$2</f>
        <v>Sandingtaman</v>
      </c>
      <c r="H7" t="s">
        <v>34</v>
      </c>
      <c r="I7">
        <f t="shared" si="0"/>
        <v>52</v>
      </c>
    </row>
    <row r="8" spans="1:9" x14ac:dyDescent="0.35">
      <c r="A8">
        <v>7</v>
      </c>
      <c r="B8" s="1" t="s">
        <v>48</v>
      </c>
      <c r="C8" s="2" t="s">
        <v>57</v>
      </c>
      <c r="D8" s="2" t="str">
        <f ca="1">INDEX(conf!$B$2:$D$16,RANDBETWEEN(1,7),1)</f>
        <v>Karoya</v>
      </c>
      <c r="E8" s="2" t="str">
        <f ca="1">INDEX(conf!$B$2:$D$16,RANDBETWEEN(1,15),3)</f>
        <v>008</v>
      </c>
      <c r="F8" s="2" t="str">
        <f ca="1">INDEX(conf!$B$2:$D$16,RANDBETWEEN(1,15),2)</f>
        <v>012</v>
      </c>
      <c r="G8" s="3" t="str">
        <f>conf!$A$2</f>
        <v>Sandingtaman</v>
      </c>
      <c r="H8" t="s">
        <v>35</v>
      </c>
      <c r="I8">
        <f t="shared" si="0"/>
        <v>64</v>
      </c>
    </row>
    <row r="9" spans="1:9" x14ac:dyDescent="0.35">
      <c r="A9">
        <v>8</v>
      </c>
      <c r="B9" s="1" t="s">
        <v>48</v>
      </c>
      <c r="C9" s="2" t="s">
        <v>58</v>
      </c>
      <c r="D9" s="2" t="str">
        <f ca="1">INDEX(conf!$B$2:$D$16,RANDBETWEEN(1,7),1)</f>
        <v>Cidarma</v>
      </c>
      <c r="E9" s="2" t="str">
        <f ca="1">INDEX(conf!$B$2:$D$16,RANDBETWEEN(1,15),3)</f>
        <v>001</v>
      </c>
      <c r="F9" s="2" t="str">
        <f ca="1">INDEX(conf!$B$2:$D$16,RANDBETWEEN(1,15),2)</f>
        <v>003</v>
      </c>
      <c r="G9" s="3" t="str">
        <f>conf!$A$2</f>
        <v>Sandingtaman</v>
      </c>
      <c r="H9" t="s">
        <v>43</v>
      </c>
      <c r="I9">
        <f t="shared" si="0"/>
        <v>58</v>
      </c>
    </row>
    <row r="10" spans="1:9" x14ac:dyDescent="0.35">
      <c r="A10">
        <v>9</v>
      </c>
      <c r="B10" s="1" t="s">
        <v>49</v>
      </c>
      <c r="C10" s="2" t="s">
        <v>59</v>
      </c>
      <c r="D10" s="2" t="str">
        <f ca="1">INDEX(conf!$B$2:$D$16,RANDBETWEEN(1,7),1)</f>
        <v>Cidarma</v>
      </c>
      <c r="E10" s="2" t="str">
        <f ca="1">INDEX(conf!$B$2:$D$16,RANDBETWEEN(1,15),3)</f>
        <v>003</v>
      </c>
      <c r="F10" s="2" t="str">
        <f ca="1">INDEX(conf!$B$2:$D$16,RANDBETWEEN(1,15),2)</f>
        <v>014</v>
      </c>
      <c r="G10" s="3" t="str">
        <f>conf!$A$2</f>
        <v>Sandingtaman</v>
      </c>
      <c r="H10" t="s">
        <v>36</v>
      </c>
      <c r="I10">
        <f t="shared" si="0"/>
        <v>53</v>
      </c>
    </row>
    <row r="11" spans="1:9" x14ac:dyDescent="0.35">
      <c r="A11">
        <v>10</v>
      </c>
      <c r="B11" s="1" t="s">
        <v>49</v>
      </c>
      <c r="C11" s="2" t="s">
        <v>60</v>
      </c>
      <c r="D11" s="2" t="str">
        <f ca="1">INDEX(conf!$B$2:$D$16,RANDBETWEEN(1,7),1)</f>
        <v>Nanggela</v>
      </c>
      <c r="E11" s="2" t="str">
        <f ca="1">INDEX(conf!$B$2:$D$16,RANDBETWEEN(1,15),3)</f>
        <v>002</v>
      </c>
      <c r="F11" s="2" t="str">
        <f ca="1">INDEX(conf!$B$2:$D$16,RANDBETWEEN(1,15),2)</f>
        <v>009</v>
      </c>
      <c r="G11" s="3" t="str">
        <f>conf!$A$2</f>
        <v>Sandingtaman</v>
      </c>
      <c r="H11" t="s">
        <v>37</v>
      </c>
      <c r="I11">
        <f t="shared" si="0"/>
        <v>55</v>
      </c>
    </row>
    <row r="12" spans="1:9" x14ac:dyDescent="0.35">
      <c r="A12">
        <v>11</v>
      </c>
      <c r="B12" s="1" t="s">
        <v>49</v>
      </c>
      <c r="C12" s="2" t="s">
        <v>61</v>
      </c>
      <c r="D12" s="2" t="str">
        <f ca="1">INDEX(conf!$B$2:$D$16,RANDBETWEEN(1,7),1)</f>
        <v>Karoya</v>
      </c>
      <c r="E12" s="2" t="str">
        <f ca="1">INDEX(conf!$B$2:$D$16,RANDBETWEEN(1,15),3)</f>
        <v>013</v>
      </c>
      <c r="F12" s="2" t="str">
        <f ca="1">INDEX(conf!$B$2:$D$16,RANDBETWEEN(1,15),2)</f>
        <v>007</v>
      </c>
      <c r="G12" s="3" t="str">
        <f>conf!$A$2</f>
        <v>Sandingtaman</v>
      </c>
      <c r="H12" t="s">
        <v>44</v>
      </c>
      <c r="I12">
        <f t="shared" si="0"/>
        <v>59</v>
      </c>
    </row>
    <row r="13" spans="1:9" x14ac:dyDescent="0.35">
      <c r="A13">
        <v>12</v>
      </c>
      <c r="B13" s="1" t="s">
        <v>49</v>
      </c>
      <c r="C13" s="2" t="s">
        <v>62</v>
      </c>
      <c r="D13" s="2" t="str">
        <f ca="1">INDEX(conf!$B$2:$D$16,RANDBETWEEN(1,7),1)</f>
        <v>Cipicung</v>
      </c>
      <c r="E13" s="2" t="str">
        <f ca="1">INDEX(conf!$B$2:$D$16,RANDBETWEEN(1,15),3)</f>
        <v>011</v>
      </c>
      <c r="F13" s="2" t="str">
        <f ca="1">INDEX(conf!$B$2:$D$16,RANDBETWEEN(1,15),2)</f>
        <v>009</v>
      </c>
      <c r="G13" s="3" t="str">
        <f>conf!$A$2</f>
        <v>Sandingtaman</v>
      </c>
      <c r="H13" t="s">
        <v>38</v>
      </c>
      <c r="I13">
        <f t="shared" si="0"/>
        <v>115</v>
      </c>
    </row>
    <row r="14" spans="1:9" x14ac:dyDescent="0.35">
      <c r="A14">
        <v>13</v>
      </c>
      <c r="B14" s="1" t="s">
        <v>50</v>
      </c>
      <c r="C14" s="2" t="s">
        <v>63</v>
      </c>
      <c r="D14" s="2" t="str">
        <f ca="1">INDEX(conf!$B$2:$D$16,RANDBETWEEN(1,7),1)</f>
        <v>Cipicung</v>
      </c>
      <c r="E14" s="2" t="str">
        <f ca="1">INDEX(conf!$B$2:$D$16,RANDBETWEEN(1,15),3)</f>
        <v>007</v>
      </c>
      <c r="F14" s="2" t="str">
        <f ca="1">INDEX(conf!$B$2:$D$16,RANDBETWEEN(1,15),2)</f>
        <v>007</v>
      </c>
      <c r="G14" s="3" t="str">
        <f>conf!$A$2</f>
        <v>Sandingtaman</v>
      </c>
      <c r="H14" t="s">
        <v>39</v>
      </c>
      <c r="I14">
        <f t="shared" si="0"/>
        <v>128</v>
      </c>
    </row>
    <row r="15" spans="1:9" x14ac:dyDescent="0.35">
      <c r="A15">
        <v>14</v>
      </c>
      <c r="B15" s="1" t="s">
        <v>50</v>
      </c>
      <c r="C15" s="2" t="s">
        <v>64</v>
      </c>
      <c r="D15" s="2" t="str">
        <f ca="1">INDEX(conf!$B$2:$D$16,RANDBETWEEN(1,7),1)</f>
        <v>Karoya</v>
      </c>
      <c r="E15" s="2" t="str">
        <f ca="1">INDEX(conf!$B$2:$D$16,RANDBETWEEN(1,15),3)</f>
        <v>014</v>
      </c>
      <c r="F15" s="2" t="str">
        <f ca="1">INDEX(conf!$B$2:$D$16,RANDBETWEEN(1,15),2)</f>
        <v>007</v>
      </c>
      <c r="G15" s="3" t="str">
        <f>conf!$A$2</f>
        <v>Sandingtaman</v>
      </c>
      <c r="H15" t="s">
        <v>40</v>
      </c>
      <c r="I15">
        <f t="shared" si="0"/>
        <v>122</v>
      </c>
    </row>
    <row r="16" spans="1:9" x14ac:dyDescent="0.35">
      <c r="A16">
        <v>15</v>
      </c>
      <c r="B16" s="1" t="s">
        <v>50</v>
      </c>
      <c r="C16" s="2" t="s">
        <v>65</v>
      </c>
      <c r="D16" s="2" t="str">
        <f ca="1">INDEX(conf!$B$2:$D$16,RANDBETWEEN(1,7),1)</f>
        <v>Citaman</v>
      </c>
      <c r="E16" s="2" t="str">
        <f ca="1">INDEX(conf!$B$2:$D$16,RANDBETWEEN(1,15),3)</f>
        <v>009</v>
      </c>
      <c r="F16" s="2" t="str">
        <f ca="1">INDEX(conf!$B$2:$D$16,RANDBETWEEN(1,15),2)</f>
        <v>013</v>
      </c>
      <c r="G16" s="3" t="str">
        <f>conf!$A$2</f>
        <v>Sandingtaman</v>
      </c>
      <c r="H16" t="s">
        <v>41</v>
      </c>
      <c r="I16">
        <f t="shared" si="0"/>
        <v>124</v>
      </c>
    </row>
    <row r="17" spans="1:8" x14ac:dyDescent="0.35">
      <c r="A17">
        <v>16</v>
      </c>
      <c r="B17" s="1" t="s">
        <v>50</v>
      </c>
      <c r="C17" s="2" t="s">
        <v>66</v>
      </c>
      <c r="D17" s="2" t="str">
        <f ca="1">INDEX(conf!$B$2:$D$16,RANDBETWEEN(1,7),1)</f>
        <v>Karoya</v>
      </c>
      <c r="E17" s="2" t="str">
        <f ca="1">INDEX(conf!$B$2:$D$16,RANDBETWEEN(1,15),3)</f>
        <v>011</v>
      </c>
      <c r="F17" s="2" t="str">
        <f ca="1">INDEX(conf!$B$2:$D$16,RANDBETWEEN(1,15),2)</f>
        <v>011</v>
      </c>
      <c r="G17" s="3" t="str">
        <f>conf!$A$2</f>
        <v>Sandingtaman</v>
      </c>
      <c r="H17" t="s">
        <v>42</v>
      </c>
    </row>
  </sheetData>
  <phoneticPr fontId="1" type="noConversion"/>
  <conditionalFormatting sqref="I2:I16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8" sqref="B2:B8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24</v>
      </c>
      <c r="B2" t="s">
        <v>25</v>
      </c>
      <c r="C2" s="1" t="s">
        <v>19</v>
      </c>
      <c r="D2" s="1" t="s">
        <v>19</v>
      </c>
    </row>
    <row r="3" spans="1:4" x14ac:dyDescent="0.35">
      <c r="B3" t="s">
        <v>26</v>
      </c>
      <c r="C3" s="1" t="s">
        <v>13</v>
      </c>
      <c r="D3" s="1" t="s">
        <v>13</v>
      </c>
    </row>
    <row r="4" spans="1:4" x14ac:dyDescent="0.35">
      <c r="B4" t="s">
        <v>27</v>
      </c>
      <c r="C4" s="1" t="s">
        <v>14</v>
      </c>
      <c r="D4" s="1" t="s">
        <v>14</v>
      </c>
    </row>
    <row r="5" spans="1:4" x14ac:dyDescent="0.35">
      <c r="B5" t="s">
        <v>28</v>
      </c>
      <c r="C5" s="1" t="s">
        <v>12</v>
      </c>
      <c r="D5" s="1" t="s">
        <v>12</v>
      </c>
    </row>
    <row r="6" spans="1:4" x14ac:dyDescent="0.35">
      <c r="B6" t="s">
        <v>29</v>
      </c>
      <c r="C6" s="1" t="s">
        <v>8</v>
      </c>
      <c r="D6" s="1" t="s">
        <v>8</v>
      </c>
    </row>
    <row r="7" spans="1:4" x14ac:dyDescent="0.35">
      <c r="B7" t="s">
        <v>23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20</v>
      </c>
      <c r="D13" s="1" t="s">
        <v>20</v>
      </c>
    </row>
    <row r="14" spans="1:4" x14ac:dyDescent="0.35">
      <c r="C14" s="1" t="s">
        <v>21</v>
      </c>
      <c r="D14" s="1" t="s">
        <v>21</v>
      </c>
    </row>
    <row r="15" spans="1:4" x14ac:dyDescent="0.35">
      <c r="C15" s="1" t="s">
        <v>22</v>
      </c>
      <c r="D15" s="1" t="s">
        <v>22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2023-09-08T23:12:59Z</dcterms:modified>
</cp:coreProperties>
</file>