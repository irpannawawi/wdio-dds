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tanjungsari\"/>
    </mc:Choice>
  </mc:AlternateContent>
  <xr:revisionPtr revIDLastSave="0" documentId="13_ncr:1_{EF6087E8-96C8-462B-B7D2-7FFD529D0F90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D33" i="1"/>
  <c r="E33" i="1"/>
  <c r="F33" i="1"/>
  <c r="G33" i="1"/>
  <c r="D34" i="1"/>
  <c r="E34" i="1"/>
  <c r="F34" i="1"/>
  <c r="G34" i="1"/>
  <c r="D35" i="1"/>
  <c r="E35" i="1"/>
  <c r="F35" i="1"/>
  <c r="G35" i="1"/>
  <c r="D36" i="1"/>
  <c r="E36" i="1"/>
  <c r="F36" i="1"/>
  <c r="G36" i="1"/>
  <c r="D37" i="1"/>
  <c r="E37" i="1"/>
  <c r="F37" i="1"/>
  <c r="G37" i="1"/>
  <c r="D38" i="1"/>
  <c r="E38" i="1"/>
  <c r="F38" i="1"/>
  <c r="G38" i="1"/>
  <c r="D39" i="1"/>
  <c r="E39" i="1"/>
  <c r="F39" i="1"/>
  <c r="G39" i="1"/>
  <c r="D40" i="1"/>
  <c r="E40" i="1"/>
  <c r="F40" i="1"/>
  <c r="G40" i="1"/>
  <c r="D41" i="1"/>
  <c r="E41" i="1"/>
  <c r="F41" i="1"/>
  <c r="G41" i="1"/>
  <c r="D42" i="1"/>
  <c r="E42" i="1"/>
  <c r="F42" i="1"/>
  <c r="G42" i="1"/>
  <c r="D43" i="1"/>
  <c r="E43" i="1"/>
  <c r="F43" i="1"/>
  <c r="G43" i="1"/>
  <c r="D44" i="1"/>
  <c r="E44" i="1"/>
  <c r="F44" i="1"/>
  <c r="G44" i="1"/>
  <c r="D45" i="1"/>
  <c r="E45" i="1"/>
  <c r="F45" i="1"/>
  <c r="G45" i="1"/>
  <c r="D46" i="1"/>
  <c r="E46" i="1"/>
  <c r="F46" i="1"/>
  <c r="G46" i="1"/>
  <c r="D47" i="1"/>
  <c r="E47" i="1"/>
  <c r="F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D57" i="1"/>
  <c r="E57" i="1"/>
  <c r="F57" i="1"/>
  <c r="G57" i="1"/>
  <c r="D58" i="1"/>
  <c r="E58" i="1"/>
  <c r="F58" i="1"/>
  <c r="G58" i="1"/>
  <c r="D59" i="1"/>
  <c r="E59" i="1"/>
  <c r="F59" i="1"/>
  <c r="G59" i="1"/>
  <c r="D60" i="1"/>
  <c r="E60" i="1"/>
  <c r="F60" i="1"/>
  <c r="G60" i="1"/>
  <c r="D61" i="1"/>
  <c r="E61" i="1"/>
  <c r="F61" i="1"/>
  <c r="G61" i="1"/>
  <c r="D62" i="1"/>
  <c r="E62" i="1"/>
  <c r="F62" i="1"/>
  <c r="G62" i="1"/>
  <c r="D63" i="1"/>
  <c r="E63" i="1"/>
  <c r="F63" i="1"/>
  <c r="G63" i="1"/>
  <c r="D64" i="1"/>
  <c r="E64" i="1"/>
  <c r="F64" i="1"/>
  <c r="G64" i="1"/>
  <c r="D65" i="1"/>
  <c r="E65" i="1"/>
  <c r="F65" i="1"/>
  <c r="G65" i="1"/>
  <c r="D66" i="1"/>
  <c r="E66" i="1"/>
  <c r="F66" i="1"/>
  <c r="G66" i="1"/>
  <c r="D67" i="1"/>
  <c r="E67" i="1"/>
  <c r="F67" i="1"/>
  <c r="G67" i="1"/>
  <c r="D68" i="1"/>
  <c r="E68" i="1"/>
  <c r="F68" i="1"/>
  <c r="G68" i="1"/>
  <c r="D69" i="1"/>
  <c r="E69" i="1"/>
  <c r="F69" i="1"/>
  <c r="G69" i="1"/>
  <c r="D70" i="1"/>
  <c r="E70" i="1"/>
  <c r="F70" i="1"/>
  <c r="G70" i="1"/>
  <c r="D71" i="1"/>
  <c r="E71" i="1"/>
  <c r="F71" i="1"/>
  <c r="G71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2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<sst xmlns="http://schemas.openxmlformats.org/spreadsheetml/2006/main" count="261" uniqueCount="180">
  <si>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</si>
  <si>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</si>
  <si>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</si>
  <si>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</si>
  <si>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</si>
  <si>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</si>
  <si>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</si>
  <si>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</si>
  <si>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</si>
  <si>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</si>
  <si>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</si>
  <si>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</si>
  <si>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</si>
  <si>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</si>
  <si>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</si>
  <si>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</si>
  <si>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</si>
  <si>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</si>
  <si>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</si>
  <si>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</si>
  <si>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Kubangsari</t>
  </si>
  <si>
    <t>012</t>
  </si>
  <si>
    <t>013</t>
  </si>
  <si>
    <t>014</t>
  </si>
  <si>
    <t>Tanjungsari</t>
  </si>
  <si>
    <t>Sukamaju</t>
  </si>
  <si>
    <t>Garunggang</t>
  </si>
  <si>
    <t>Mandala</t>
  </si>
  <si>
    <t>Cacaban</t>
  </si>
  <si>
    <t>Cipinang</t>
  </si>
  <si>
    <t>Sindang</t>
  </si>
  <si>
    <t>Sindangjaya</t>
  </si>
  <si>
    <t>ANWAR</t>
  </si>
  <si>
    <t>YATI</t>
  </si>
  <si>
    <t>Harga kebutuhan pokok terus meroket, sulit untuk mencukupi.</t>
  </si>
  <si>
    <t>Pengangguran tinggi, sulit mencari pekerjaan yang layak.</t>
  </si>
  <si>
    <t>Upah minimum belum cukup untuk memenuhi kebutuhan hidup.</t>
  </si>
  <si>
    <t>Sulitnya akses kepada layanan kesehatan karena biaya yang tinggi.</t>
  </si>
  <si>
    <t>Pendidikan berkualitas sulit dijangkau akibat biaya tinggi.</t>
  </si>
  <si>
    <t>Besarnya beban pajak dan kurangnya manfaat yang dirasakan.</t>
  </si>
  <si>
    <t>Harga sewa tempat tinggal terlalu tinggi di perkotaan.</t>
  </si>
  <si>
    <t>Sulitnya mendapatkan kredit untuk usaha kecil dan menengah.</t>
  </si>
  <si>
    <t>Inflasi yang tidak terkendali menggerus daya beli.</t>
  </si>
  <si>
    <t>Kesenjangan ekonomi antara kaya dan miskin semakin melebar.</t>
  </si>
  <si>
    <t>Harga BBM dan energi terus naik, mengganggu mobilitas.</t>
  </si>
  <si>
    <t>Keterbatasan peluang ekonomi di daerah pedesaan menyulitkan warga.</t>
  </si>
  <si>
    <t>Sulitnya akses modal untuk pertanian modern di desa.</t>
  </si>
  <si>
    <t>Kurangnya lapangan kerja di sektor industri kreatif.</t>
  </si>
  <si>
    <t>Mahalnya biaya transportasi umum merugikan pekerja.</t>
  </si>
  <si>
    <t>Sulitnya memenuhi kebutuhan pensiun di tengah kenaikan biaya hidup.</t>
  </si>
  <si>
    <t>Rendahnya kualitas infrastruktur di beberapa daerah.</t>
  </si>
  <si>
    <t>Hambatan birokrasi dan korupsi menghambat perkembangan usaha.</t>
  </si>
  <si>
    <t>Investasi asing lebih diuntungkan daripada pengusaha lokal.</t>
  </si>
  <si>
    <t>Sulitnya mendapatkan akses permodalan untuk startup.</t>
  </si>
  <si>
    <t>Sistem perpajakan yang rumit dan membingungkan masyarakat.</t>
  </si>
  <si>
    <t>Tingginya biaya produksi menghambat pertumbuhan industri.</t>
  </si>
  <si>
    <t>Keterbatasan akses ke teknologi modern di kalangan masyarakat.</t>
  </si>
  <si>
    <t>Kurangnya dukungan untuk pelatihan keterampilan dari pemerintah terhadap masyarakat.</t>
  </si>
  <si>
    <t>Sulitnya mengakses layanan keuangan seperti kredit usaha.</t>
  </si>
  <si>
    <t>Krisis ekonomi membuat banyak usaha gulung tikar dan ekonomi sulit.</t>
  </si>
  <si>
    <t>Kurangnya diversifikasi ekonomi mengandalkan sektor tertentu.</t>
  </si>
  <si>
    <t>Harga properti yang tinggi sulit dijangkau generasi muda.</t>
  </si>
  <si>
    <t>Mahalnya biaya komunikasi dan akses internet yang terbatas.</t>
  </si>
  <si>
    <t>Sulitnya mengakses pasar ekspor bagi para pelaku usaha kecil.</t>
  </si>
  <si>
    <t>Jalan berlubang menyebabkan kerusakan kendaraan masyarakat.</t>
  </si>
  <si>
    <t>Tidak ada akses air bersih di daerah kami menyulitkan warga.</t>
  </si>
  <si>
    <t>Listrik sering mati, mengganggu aktivitas sehari-hari.</t>
  </si>
  <si>
    <t>Jembatan rusak menghambat mobilitas warga desa yang berlalu lalang.</t>
  </si>
  <si>
    <t>Transportasi umum tidak terjangkau dan tidak nyaman.</t>
  </si>
  <si>
    <t>Drainase buruk menyebabkan banjir saat hujan deras melanda.</t>
  </si>
  <si>
    <t>Fasilitas kesehatan minim, sulit mendapatkan perawatan.</t>
  </si>
  <si>
    <t>Tidak ada akses internet di daerah pedesaan membuat warga kesulitan.</t>
  </si>
  <si>
    <t>Sekolah dalam kondisi rusak, kurang memadai bagi masyarakat.</t>
  </si>
  <si>
    <t>Tempat sampah jarang disediakan, lingkungan kotor.</t>
  </si>
  <si>
    <t>Kereta api sering terlambat, merugikan para penumpang.</t>
  </si>
  <si>
    <t>Tidak ada tempat rekreasi atau taman di sekitar desa.</t>
  </si>
  <si>
    <t>Kualitas udara buruk karena minimnya pohon dan vegetasi.</t>
  </si>
  <si>
    <t>Jalur pejalan kaki tidak aman untuk digunakan bagi warga.</t>
  </si>
  <si>
    <t>Kurangnya lampu jalan membuat malam hari gelap dan rawan.</t>
  </si>
  <si>
    <t>Tidak ada sarana olahraga atau lapangan untuk warga.</t>
  </si>
  <si>
    <t>Fasilitas perbelanjaan terbatas, harus pergi jauh untuk belanja.</t>
  </si>
  <si>
    <t>Kerusakan infrastruktur menyulitkan petani dalam mengangkut hasil pertanian.</t>
  </si>
  <si>
    <t>Keterbatasan tempat parkir di pusat desa kami sangat menyulitkan.</t>
  </si>
  <si>
    <t>kendaraan umum yang sulit dijumpai di wilayah terpencil.</t>
  </si>
  <si>
    <t>Kualitas jaringan telepon seluler buruk di beberapa area.</t>
  </si>
  <si>
    <t>Minimnya jalur sepeda membuat sulit bagi pengendara sepeda.</t>
  </si>
  <si>
    <t>kondisi jalan yang kumuh dan tidak terawat rawan-.</t>
  </si>
  <si>
    <t>Kelistrikan sering terganggu akibat cuaca ekstrem.</t>
  </si>
  <si>
    <t>Pembangunan trotoar yang tidak merata dan berbahaya.</t>
  </si>
  <si>
    <t>Tidak ada jalur khusus transportasi umum, menyebabkan kemacetan.</t>
  </si>
  <si>
    <t>Tidak ada tempat penampungan untuk hewan jalanan di jalan.</t>
  </si>
  <si>
    <t>Pipa air tua sering bocor dan mengganggu pasokan air.</t>
  </si>
  <si>
    <t>Keterbatasan aksesibilitas bagi penyandang disabilitas.</t>
  </si>
  <si>
    <t>Minimnya tempat parkir untuk kendaraan umum di tempat kami.</t>
  </si>
  <si>
    <t>Ketidaksetaraan pendapatan dan kesenjangan sosial yang semakin lebar, menciptakan keresahan di kalangan masyarakat.</t>
  </si>
  <si>
    <t>Keterbatasan akses terhadap layanan kesehatan berkualitas, membuat banyak orang kesulitan mendapatkan perawatan yang dibutuhkan.</t>
  </si>
  <si>
    <t>Kurangnya lapangan kerja dan peluang ekonomi yang memadai, meningkatkan tingkat pengangguran dan ketidakpastian pekerjaan.</t>
  </si>
  <si>
    <t>Sistem pendidikan yang tidak merata dan kurang berkualitas, menghambat kemajuan sosial dan ekonomi bagi sebagian masyarakat.</t>
  </si>
  <si>
    <t>Kurangnya perhatian terhadap isu lingkungan dan keberlanjutan, menciptakan ketidakpastian akan masa depan lingkungan hidup.</t>
  </si>
  <si>
    <t>Maraknya kekerasan dan kriminalitas, menciptakan rasa takut dan tidak aman di lingkungan sekitar.</t>
  </si>
  <si>
    <t>Keterbatasan akses terhadap perumahan yang layak dan terjangkau, menyebabkan masalah perumahan bagi banyak keluarga.</t>
  </si>
  <si>
    <t>Ketidaksetaraan gender yang masih ada dalam berbagai aspek kehidupan, termasuk di tempat kerja dan dalam lingkungan domestik.</t>
  </si>
  <si>
    <t>Tidak adanya jaringan pengaman sosial yang memadai, menyebabkan kelompok rentan sulit mendapatkan dukungan saat menghadapi kesulitan.</t>
  </si>
  <si>
    <t>Isu diskriminasi rasial dan etnis yang terus muncul, menciptakan ketegangan dan konflik di antara berbagai kelompok masyarakat.</t>
  </si>
  <si>
    <t>RASWI</t>
  </si>
  <si>
    <t>INOH</t>
  </si>
  <si>
    <t>MUSLIHIN</t>
  </si>
  <si>
    <t>USMAN</t>
  </si>
  <si>
    <t>HANIAH</t>
  </si>
  <si>
    <t>MUMU ABDUL MUIN</t>
  </si>
  <si>
    <t>LIA WATI</t>
  </si>
  <si>
    <t>MILA MUAWALIAH</t>
  </si>
  <si>
    <t>MUHAMAD LUTFI AZIZ</t>
  </si>
  <si>
    <t>WAHAB HABIBULLOH</t>
  </si>
  <si>
    <t>YOYOH NURSOLIHAH</t>
  </si>
  <si>
    <t>ZIDNY FATHURROHMAN</t>
  </si>
  <si>
    <t>ALYA ASMA NABILA</t>
  </si>
  <si>
    <t>UMAR</t>
  </si>
  <si>
    <t>SUKAESIH</t>
  </si>
  <si>
    <t>YAYA AULIA</t>
  </si>
  <si>
    <t>DIDI JUNAEDI</t>
  </si>
  <si>
    <t>JENAL</t>
  </si>
  <si>
    <t>NIA KURNIATI</t>
  </si>
  <si>
    <t>RISNA</t>
  </si>
  <si>
    <t>RISNO</t>
  </si>
  <si>
    <t>AHYAR</t>
  </si>
  <si>
    <t>ROHMAN</t>
  </si>
  <si>
    <t>OJOH</t>
  </si>
  <si>
    <t>IPAN NOOR AJIZ</t>
  </si>
  <si>
    <t>ENDAH NURAJIJAH</t>
  </si>
  <si>
    <t>ROMLI</t>
  </si>
  <si>
    <t>OYOH</t>
  </si>
  <si>
    <t>TATI</t>
  </si>
  <si>
    <t>NANA SUTISNA</t>
  </si>
  <si>
    <t>JUANDA HERDIANSYAH SAPUTRA</t>
  </si>
  <si>
    <t>RAHMAT</t>
  </si>
  <si>
    <t>LILIS SURYANI</t>
  </si>
  <si>
    <t>RAIGINA SYAKILA MUSTIKA</t>
  </si>
  <si>
    <t>ANANG</t>
  </si>
  <si>
    <t>SITI SOPIAH</t>
  </si>
  <si>
    <t>MUHAMAD RIFQI</t>
  </si>
  <si>
    <t>KURDI</t>
  </si>
  <si>
    <t>SITI ASIYAH</t>
  </si>
  <si>
    <t>RINI APRIYANI</t>
  </si>
  <si>
    <t>TAOPIK HIDAYATULLOH</t>
  </si>
  <si>
    <t>MUHAMAD ALIF FIKRI</t>
  </si>
  <si>
    <t>YOYO</t>
  </si>
  <si>
    <t>ENUR</t>
  </si>
  <si>
    <t>MAMAY</t>
  </si>
  <si>
    <t>TARMAN</t>
  </si>
  <si>
    <t>DAYITI</t>
  </si>
  <si>
    <t>SURWITI</t>
  </si>
  <si>
    <t>MARYAH</t>
  </si>
  <si>
    <t>WARSO WIHARMA PUTRA</t>
  </si>
  <si>
    <t>ICIH BIN SUHARYA</t>
  </si>
  <si>
    <t>UHA</t>
  </si>
  <si>
    <t>DEDEH KURNIASIH</t>
  </si>
  <si>
    <t>NURLAELASARI</t>
  </si>
  <si>
    <t>AMELIA TRESNA LESTARI</t>
  </si>
  <si>
    <t>AGUS</t>
  </si>
  <si>
    <t>EMAY MARYATI</t>
  </si>
  <si>
    <t>MIA NURUL KHORIYAH</t>
  </si>
  <si>
    <t>IPAN NURDIN</t>
  </si>
  <si>
    <t>RASJA SUPRIATNA</t>
  </si>
  <si>
    <t>MUMUN MUNAWAROH</t>
  </si>
  <si>
    <t>MUHAMMAD FARHANULIBAD</t>
  </si>
  <si>
    <t>AZKIA TRI AMALIA</t>
  </si>
  <si>
    <t>AHIDIN</t>
  </si>
  <si>
    <t>ETI</t>
  </si>
  <si>
    <t>ADE RIZAL</t>
  </si>
  <si>
    <t>TATA</t>
  </si>
  <si>
    <t>CARSIH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</si>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</sst>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I76"/>
  <sheetViews>
    <sheetView tabSelected="1" topLeftCell="A54" workbookViewId="0">
      <selection activeCell="A71" sqref="A71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9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9" x14ac:dyDescent="0.35">
      <c r="A2">
        <v>1</v>
      </c>
      <c r="B2" s="1" t="s">
        <v>172</v>
      </c>
      <c r="C2" s="2" t="s">
        <v>104</v>
      </c>
      <c r="D2" s="2" t="str">
        <f ca="1">INDEX(conf!$B$2:$D$16,RANDBETWEEN(1,8),1)</f>
        <v>Cacaban</v>
      </c>
      <c r="E2" s="2" t="str">
        <f ca="1">INDEX(conf!$B$2:$D$16,RANDBETWEEN(1,15),3)</f>
        <v>006</v>
      </c>
      <c r="F2" s="2" t="str">
        <f ca="1">INDEX(conf!$B$2:$D$16,RANDBETWEEN(1,15),2)</f>
        <v>008</v>
      </c>
      <c r="G2" s="4" t="str">
        <f>conf!$A$2</f>
        <v>Tanjungsari</v>
      </c>
      <c r="H2" t="s">
        <v>34</v>
      </c>
      <c r="I2">
        <f>LEN(H2)</f>
        <v>59</v>
      </c>
    </row>
    <row r="3" spans="1:9" x14ac:dyDescent="0.35">
      <c r="A3">
        <v>2</v>
      </c>
      <c r="B3" s="1" t="s">
        <v>172</v>
      </c>
      <c r="C3" s="2" t="s">
        <v>105</v>
      </c>
      <c r="D3" s="2" t="str">
        <f ca="1">INDEX(conf!$B$2:$D$16,RANDBETWEEN(1,8),1)</f>
        <v>Cacaban</v>
      </c>
      <c r="E3" s="2" t="str">
        <f ca="1">INDEX(conf!$B$2:$D$16,RANDBETWEEN(1,15),3)</f>
        <v>013</v>
      </c>
      <c r="F3" s="2" t="str">
        <f ca="1">INDEX(conf!$B$2:$D$16,RANDBETWEEN(1,15),2)</f>
        <v>003</v>
      </c>
      <c r="G3" s="4" t="str">
        <f>conf!$A$2</f>
        <v>Tanjungsari</v>
      </c>
      <c r="H3" t="s">
        <v>35</v>
      </c>
      <c r="I3">
        <f t="shared" ref="I3:I31" si="0">LEN(H3)</f>
        <v>56</v>
      </c>
    </row>
    <row r="4" spans="1:9" x14ac:dyDescent="0.35">
      <c r="A4">
        <v>3</v>
      </c>
      <c r="B4" s="1" t="s">
        <v>172</v>
      </c>
      <c r="C4" s="2" t="s">
        <v>106</v>
      </c>
      <c r="D4" s="2" t="str">
        <f ca="1">INDEX(conf!$B$2:$D$16,RANDBETWEEN(1,8),1)</f>
        <v>Sindangjaya</v>
      </c>
      <c r="E4" s="2" t="str">
        <f ca="1">INDEX(conf!$B$2:$D$16,RANDBETWEEN(1,15),3)</f>
        <v>005</v>
      </c>
      <c r="F4" s="2" t="str">
        <f ca="1">INDEX(conf!$B$2:$D$16,RANDBETWEEN(1,15),2)</f>
        <v>009</v>
      </c>
      <c r="G4" s="4" t="str">
        <f>conf!$A$2</f>
        <v>Tanjungsari</v>
      </c>
      <c r="H4" s="3" t="s">
        <v>36</v>
      </c>
      <c r="I4">
        <f t="shared" si="0"/>
        <v>56</v>
      </c>
    </row>
    <row r="5" spans="1:9" x14ac:dyDescent="0.35">
      <c r="A5">
        <v>4</v>
      </c>
      <c r="B5" s="1" t="s">
        <v>172</v>
      </c>
      <c r="C5" s="2" t="s">
        <v>107</v>
      </c>
      <c r="D5" s="2" t="str">
        <f ca="1">INDEX(conf!$B$2:$D$16,RANDBETWEEN(1,8),1)</f>
        <v>Garunggang</v>
      </c>
      <c r="E5" s="2" t="str">
        <f ca="1">INDEX(conf!$B$2:$D$16,RANDBETWEEN(1,15),3)</f>
        <v>004</v>
      </c>
      <c r="F5" s="2" t="str">
        <f ca="1">INDEX(conf!$B$2:$D$16,RANDBETWEEN(1,15),2)</f>
        <v>009</v>
      </c>
      <c r="G5" s="4" t="str">
        <f>conf!$A$2</f>
        <v>Tanjungsari</v>
      </c>
      <c r="H5" s="3" t="s">
        <v>37</v>
      </c>
      <c r="I5">
        <f t="shared" si="0"/>
        <v>65</v>
      </c>
    </row>
    <row r="6" spans="1:9" x14ac:dyDescent="0.35">
      <c r="A6">
        <v>5</v>
      </c>
      <c r="B6" s="1" t="s">
        <v>172</v>
      </c>
      <c r="C6" s="2" t="s">
        <v>108</v>
      </c>
      <c r="D6" s="2" t="str">
        <f ca="1">INDEX(conf!$B$2:$D$16,RANDBETWEEN(1,8),1)</f>
        <v>Garunggang</v>
      </c>
      <c r="E6" s="2" t="str">
        <f ca="1">INDEX(conf!$B$2:$D$16,RANDBETWEEN(1,15),3)</f>
        <v>007</v>
      </c>
      <c r="F6" s="2" t="str">
        <f ca="1">INDEX(conf!$B$2:$D$16,RANDBETWEEN(1,15),2)</f>
        <v>002</v>
      </c>
      <c r="G6" s="4" t="str">
        <f>conf!$A$2</f>
        <v>Tanjungsari</v>
      </c>
      <c r="H6" s="3" t="s">
        <v>38</v>
      </c>
      <c r="I6">
        <f t="shared" si="0"/>
        <v>59</v>
      </c>
    </row>
    <row r="7" spans="1:9" x14ac:dyDescent="0.35">
      <c r="A7">
        <v>6</v>
      </c>
      <c r="B7" s="1" t="s">
        <v>172</v>
      </c>
      <c r="C7" s="2" t="s">
        <v>109</v>
      </c>
      <c r="D7" s="2" t="str">
        <f ca="1">INDEX(conf!$B$2:$D$16,RANDBETWEEN(1,8),1)</f>
        <v>Sindang</v>
      </c>
      <c r="E7" s="2" t="str">
        <f ca="1">INDEX(conf!$B$2:$D$16,RANDBETWEEN(1,15),3)</f>
        <v>013</v>
      </c>
      <c r="F7" s="2" t="str">
        <f ca="1">INDEX(conf!$B$2:$D$16,RANDBETWEEN(1,15),2)</f>
        <v>015</v>
      </c>
      <c r="G7" s="4" t="str">
        <f>conf!$A$2</f>
        <v>Tanjungsari</v>
      </c>
      <c r="H7" s="3" t="s">
        <v>39</v>
      </c>
      <c r="I7">
        <f t="shared" si="0"/>
        <v>58</v>
      </c>
    </row>
    <row r="8" spans="1:9" x14ac:dyDescent="0.35">
      <c r="A8">
        <v>7</v>
      </c>
      <c r="B8" s="1" t="s">
        <v>172</v>
      </c>
      <c r="C8" s="2" t="s">
        <v>110</v>
      </c>
      <c r="D8" s="2" t="str">
        <f ca="1">INDEX(conf!$B$2:$D$16,RANDBETWEEN(1,8),1)</f>
        <v>Garunggang</v>
      </c>
      <c r="E8" s="2" t="str">
        <f ca="1">INDEX(conf!$B$2:$D$16,RANDBETWEEN(1,15),3)</f>
        <v>010</v>
      </c>
      <c r="F8" s="2" t="str">
        <f ca="1">INDEX(conf!$B$2:$D$16,RANDBETWEEN(1,15),2)</f>
        <v>014</v>
      </c>
      <c r="G8" s="4" t="str">
        <f>conf!$A$2</f>
        <v>Tanjungsari</v>
      </c>
      <c r="H8" s="3" t="s">
        <v>40</v>
      </c>
      <c r="I8">
        <f t="shared" si="0"/>
        <v>54</v>
      </c>
    </row>
    <row r="9" spans="1:9" x14ac:dyDescent="0.35">
      <c r="A9">
        <v>8</v>
      </c>
      <c r="B9" s="1" t="s">
        <v>172</v>
      </c>
      <c r="C9" s="2" t="s">
        <v>111</v>
      </c>
      <c r="D9" s="2" t="str">
        <f ca="1">INDEX(conf!$B$2:$D$16,RANDBETWEEN(1,8),1)</f>
        <v>Sindangjaya</v>
      </c>
      <c r="E9" s="2" t="str">
        <f ca="1">INDEX(conf!$B$2:$D$16,RANDBETWEEN(1,15),3)</f>
        <v>011</v>
      </c>
      <c r="F9" s="2" t="str">
        <f ca="1">INDEX(conf!$B$2:$D$16,RANDBETWEEN(1,15),2)</f>
        <v>011</v>
      </c>
      <c r="G9" s="4" t="str">
        <f>conf!$A$2</f>
        <v>Tanjungsari</v>
      </c>
      <c r="H9" s="3" t="s">
        <v>41</v>
      </c>
      <c r="I9">
        <f t="shared" si="0"/>
        <v>59</v>
      </c>
    </row>
    <row r="10" spans="1:9" x14ac:dyDescent="0.35">
      <c r="A10">
        <v>9</v>
      </c>
      <c r="B10" s="1" t="s">
        <v>172</v>
      </c>
      <c r="C10" s="2" t="s">
        <v>112</v>
      </c>
      <c r="D10" s="2" t="str">
        <f ca="1">INDEX(conf!$B$2:$D$16,RANDBETWEEN(1,8),1)</f>
        <v>Cipinang</v>
      </c>
      <c r="E10" s="2" t="str">
        <f ca="1">INDEX(conf!$B$2:$D$16,RANDBETWEEN(1,15),3)</f>
        <v>011</v>
      </c>
      <c r="F10" s="2" t="str">
        <f ca="1">INDEX(conf!$B$2:$D$16,RANDBETWEEN(1,15),2)</f>
        <v>006</v>
      </c>
      <c r="G10" s="4" t="str">
        <f>conf!$A$2</f>
        <v>Tanjungsari</v>
      </c>
      <c r="H10" s="3" t="s">
        <v>42</v>
      </c>
      <c r="I10">
        <f t="shared" si="0"/>
        <v>50</v>
      </c>
    </row>
    <row r="11" spans="1:9" x14ac:dyDescent="0.35">
      <c r="A11">
        <v>10</v>
      </c>
      <c r="B11" s="1" t="s">
        <v>173</v>
      </c>
      <c r="C11" s="2" t="s">
        <v>113</v>
      </c>
      <c r="D11" s="2" t="str">
        <f ca="1">INDEX(conf!$B$2:$D$16,RANDBETWEEN(1,8),1)</f>
        <v>Sindang</v>
      </c>
      <c r="E11" s="2" t="str">
        <f ca="1">INDEX(conf!$B$2:$D$16,RANDBETWEEN(1,15),3)</f>
        <v>009</v>
      </c>
      <c r="F11" s="2" t="str">
        <f ca="1">INDEX(conf!$B$2:$D$16,RANDBETWEEN(1,15),2)</f>
        <v>003</v>
      </c>
      <c r="G11" s="4" t="str">
        <f>conf!$A$2</f>
        <v>Tanjungsari</v>
      </c>
      <c r="H11" s="3" t="s">
        <v>43</v>
      </c>
      <c r="I11">
        <f t="shared" si="0"/>
        <v>59</v>
      </c>
    </row>
    <row r="12" spans="1:9" x14ac:dyDescent="0.35">
      <c r="A12">
        <v>11</v>
      </c>
      <c r="B12" s="1" t="s">
        <v>173</v>
      </c>
      <c r="C12" s="2" t="s">
        <v>114</v>
      </c>
      <c r="D12" s="2" t="str">
        <f ca="1">INDEX(conf!$B$2:$D$16,RANDBETWEEN(1,8),1)</f>
        <v>Mandala</v>
      </c>
      <c r="E12" s="2" t="str">
        <f ca="1">INDEX(conf!$B$2:$D$16,RANDBETWEEN(1,15),3)</f>
        <v>014</v>
      </c>
      <c r="F12" s="2" t="str">
        <f ca="1">INDEX(conf!$B$2:$D$16,RANDBETWEEN(1,15),2)</f>
        <v>003</v>
      </c>
      <c r="G12" s="4" t="str">
        <f>conf!$A$2</f>
        <v>Tanjungsari</v>
      </c>
      <c r="H12" t="s">
        <v>44</v>
      </c>
      <c r="I12">
        <f t="shared" si="0"/>
        <v>54</v>
      </c>
    </row>
    <row r="13" spans="1:9" x14ac:dyDescent="0.35">
      <c r="A13">
        <v>12</v>
      </c>
      <c r="B13" s="1" t="s">
        <v>173</v>
      </c>
      <c r="C13" s="2" t="s">
        <v>115</v>
      </c>
      <c r="D13" s="2" t="str">
        <f ca="1">INDEX(conf!$B$2:$D$16,RANDBETWEEN(1,8),1)</f>
        <v>Garunggang</v>
      </c>
      <c r="E13" s="2" t="str">
        <f ca="1">INDEX(conf!$B$2:$D$16,RANDBETWEEN(1,15),3)</f>
        <v>002</v>
      </c>
      <c r="F13" s="2" t="str">
        <f ca="1">INDEX(conf!$B$2:$D$16,RANDBETWEEN(1,15),2)</f>
        <v>013</v>
      </c>
      <c r="G13" s="4" t="str">
        <f>conf!$A$2</f>
        <v>Tanjungsari</v>
      </c>
      <c r="H13" s="3" t="s">
        <v>45</v>
      </c>
      <c r="I13">
        <f t="shared" si="0"/>
        <v>66</v>
      </c>
    </row>
    <row r="14" spans="1:9" x14ac:dyDescent="0.35">
      <c r="A14">
        <v>13</v>
      </c>
      <c r="B14" s="1" t="s">
        <v>173</v>
      </c>
      <c r="C14" s="2" t="s">
        <v>116</v>
      </c>
      <c r="D14" s="2" t="str">
        <f ca="1">INDEX(conf!$B$2:$D$16,RANDBETWEEN(1,8),1)</f>
        <v>Garunggang</v>
      </c>
      <c r="E14" s="2" t="str">
        <f ca="1">INDEX(conf!$B$2:$D$16,RANDBETWEEN(1,15),3)</f>
        <v>009</v>
      </c>
      <c r="F14" s="2" t="str">
        <f ca="1">INDEX(conf!$B$2:$D$16,RANDBETWEEN(1,15),2)</f>
        <v>008</v>
      </c>
      <c r="G14" s="4" t="str">
        <f>conf!$A$2</f>
        <v>Tanjungsari</v>
      </c>
      <c r="H14" s="3" t="s">
        <v>46</v>
      </c>
      <c r="I14">
        <f t="shared" si="0"/>
        <v>52</v>
      </c>
    </row>
    <row r="15" spans="1:9" x14ac:dyDescent="0.35">
      <c r="A15">
        <v>14</v>
      </c>
      <c r="B15" s="1" t="s">
        <v>173</v>
      </c>
      <c r="C15" s="2" t="s">
        <v>117</v>
      </c>
      <c r="D15" s="2" t="str">
        <f ca="1">INDEX(conf!$B$2:$D$16,RANDBETWEEN(1,8),1)</f>
        <v>Sindangjaya</v>
      </c>
      <c r="E15" s="2" t="str">
        <f ca="1">INDEX(conf!$B$2:$D$16,RANDBETWEEN(1,15),3)</f>
        <v>004</v>
      </c>
      <c r="F15" s="2" t="str">
        <f ca="1">INDEX(conf!$B$2:$D$16,RANDBETWEEN(1,15),2)</f>
        <v>006</v>
      </c>
      <c r="G15" s="4" t="str">
        <f>conf!$A$2</f>
        <v>Tanjungsari</v>
      </c>
      <c r="H15" s="3" t="s">
        <v>47</v>
      </c>
      <c r="I15">
        <f t="shared" si="0"/>
        <v>52</v>
      </c>
    </row>
    <row r="16" spans="1:9" x14ac:dyDescent="0.35">
      <c r="A16">
        <v>15</v>
      </c>
      <c r="B16" s="1" t="s">
        <v>173</v>
      </c>
      <c r="C16" s="2" t="s">
        <v>118</v>
      </c>
      <c r="D16" s="2" t="str">
        <f ca="1">INDEX(conf!$B$2:$D$16,RANDBETWEEN(1,8),1)</f>
        <v>Cipinang</v>
      </c>
      <c r="E16" s="2" t="str">
        <f ca="1">INDEX(conf!$B$2:$D$16,RANDBETWEEN(1,15),3)</f>
        <v>007</v>
      </c>
      <c r="F16" s="2" t="str">
        <f ca="1">INDEX(conf!$B$2:$D$16,RANDBETWEEN(1,15),2)</f>
        <v>010</v>
      </c>
      <c r="G16" s="4" t="str">
        <f>conf!$A$2</f>
        <v>Tanjungsari</v>
      </c>
      <c r="H16" s="3" t="s">
        <v>48</v>
      </c>
      <c r="I16">
        <f t="shared" si="0"/>
        <v>51</v>
      </c>
    </row>
    <row r="17" spans="1:9" x14ac:dyDescent="0.35">
      <c r="A17">
        <v>16</v>
      </c>
      <c r="B17" s="1" t="s">
        <v>173</v>
      </c>
      <c r="C17" s="2" t="s">
        <v>119</v>
      </c>
      <c r="D17" s="2" t="str">
        <f ca="1">INDEX(conf!$B$2:$D$16,RANDBETWEEN(1,8),1)</f>
        <v>Sindang</v>
      </c>
      <c r="E17" s="2" t="str">
        <f ca="1">INDEX(conf!$B$2:$D$16,RANDBETWEEN(1,15),3)</f>
        <v>004</v>
      </c>
      <c r="F17" s="2" t="str">
        <f ca="1">INDEX(conf!$B$2:$D$16,RANDBETWEEN(1,15),2)</f>
        <v>007</v>
      </c>
      <c r="G17" s="4" t="str">
        <f>conf!$A$2</f>
        <v>Tanjungsari</v>
      </c>
      <c r="H17" s="3" t="s">
        <v>49</v>
      </c>
      <c r="I17">
        <f t="shared" si="0"/>
        <v>67</v>
      </c>
    </row>
    <row r="18" spans="1:9" x14ac:dyDescent="0.35">
      <c r="A18">
        <v>17</v>
      </c>
      <c r="B18" s="1" t="s">
        <v>173</v>
      </c>
      <c r="C18" s="2" t="s">
        <v>120</v>
      </c>
      <c r="D18" s="2" t="str">
        <f ca="1">INDEX(conf!$B$2:$D$16,RANDBETWEEN(1,8),1)</f>
        <v>Mandala</v>
      </c>
      <c r="E18" s="2" t="str">
        <f ca="1">INDEX(conf!$B$2:$D$16,RANDBETWEEN(1,15),3)</f>
        <v>007</v>
      </c>
      <c r="F18" s="2" t="str">
        <f ca="1">INDEX(conf!$B$2:$D$16,RANDBETWEEN(1,15),2)</f>
        <v>005</v>
      </c>
      <c r="G18" s="4" t="str">
        <f>conf!$A$2</f>
        <v>Tanjungsari</v>
      </c>
      <c r="H18" s="3" t="s">
        <v>50</v>
      </c>
      <c r="I18">
        <f t="shared" si="0"/>
        <v>52</v>
      </c>
    </row>
    <row r="19" spans="1:9" x14ac:dyDescent="0.35">
      <c r="A19">
        <v>18</v>
      </c>
      <c r="B19" s="1" t="s">
        <v>173</v>
      </c>
      <c r="C19" s="2" t="s">
        <v>121</v>
      </c>
      <c r="D19" s="2" t="str">
        <f ca="1">INDEX(conf!$B$2:$D$16,RANDBETWEEN(1,8),1)</f>
        <v>Sukamaju</v>
      </c>
      <c r="E19" s="2" t="str">
        <f ca="1">INDEX(conf!$B$2:$D$16,RANDBETWEEN(1,15),3)</f>
        <v>015</v>
      </c>
      <c r="F19" s="2" t="str">
        <f ca="1">INDEX(conf!$B$2:$D$16,RANDBETWEEN(1,15),2)</f>
        <v>009</v>
      </c>
      <c r="G19" s="4" t="str">
        <f>conf!$A$2</f>
        <v>Tanjungsari</v>
      </c>
      <c r="H19" s="3" t="s">
        <v>51</v>
      </c>
      <c r="I19">
        <f t="shared" si="0"/>
        <v>61</v>
      </c>
    </row>
    <row r="20" spans="1:9" x14ac:dyDescent="0.35">
      <c r="A20">
        <v>19</v>
      </c>
      <c r="B20" s="1" t="s">
        <v>174</v>
      </c>
      <c r="C20" s="2" t="s">
        <v>122</v>
      </c>
      <c r="D20" s="2" t="str">
        <f ca="1">INDEX(conf!$B$2:$D$16,RANDBETWEEN(1,8),1)</f>
        <v>Sukamaju</v>
      </c>
      <c r="E20" s="2" t="str">
        <f ca="1">INDEX(conf!$B$2:$D$16,RANDBETWEEN(1,15),3)</f>
        <v>010</v>
      </c>
      <c r="F20" s="2" t="str">
        <f ca="1">INDEX(conf!$B$2:$D$16,RANDBETWEEN(1,15),2)</f>
        <v>008</v>
      </c>
      <c r="G20" s="4" t="str">
        <f>conf!$A$2</f>
        <v>Tanjungsari</v>
      </c>
      <c r="H20" s="3" t="s">
        <v>52</v>
      </c>
      <c r="I20">
        <f t="shared" si="0"/>
        <v>59</v>
      </c>
    </row>
    <row r="21" spans="1:9" x14ac:dyDescent="0.35">
      <c r="A21">
        <v>20</v>
      </c>
      <c r="B21" s="1" t="s">
        <v>174</v>
      </c>
      <c r="C21" s="2" t="s">
        <v>123</v>
      </c>
      <c r="D21" s="2" t="str">
        <f ca="1">INDEX(conf!$B$2:$D$16,RANDBETWEEN(1,8),1)</f>
        <v>Mandala</v>
      </c>
      <c r="E21" s="2" t="str">
        <f ca="1">INDEX(conf!$B$2:$D$16,RANDBETWEEN(1,15),3)</f>
        <v>012</v>
      </c>
      <c r="F21" s="2" t="str">
        <f ca="1">INDEX(conf!$B$2:$D$16,RANDBETWEEN(1,15),2)</f>
        <v>004</v>
      </c>
      <c r="G21" s="4" t="str">
        <f>conf!$A$2</f>
        <v>Tanjungsari</v>
      </c>
      <c r="H21" t="s">
        <v>53</v>
      </c>
      <c r="I21">
        <f t="shared" si="0"/>
        <v>52</v>
      </c>
    </row>
    <row r="22" spans="1:9" x14ac:dyDescent="0.35">
      <c r="A22">
        <v>21</v>
      </c>
      <c r="B22" s="1" t="s">
        <v>174</v>
      </c>
      <c r="C22" s="2" t="s">
        <v>124</v>
      </c>
      <c r="D22" s="2" t="str">
        <f ca="1">INDEX(conf!$B$2:$D$16,RANDBETWEEN(1,8),1)</f>
        <v>Sindangjaya</v>
      </c>
      <c r="E22" s="2" t="str">
        <f ca="1">INDEX(conf!$B$2:$D$16,RANDBETWEEN(1,15),3)</f>
        <v>007</v>
      </c>
      <c r="F22" s="2" t="str">
        <f ca="1">INDEX(conf!$B$2:$D$16,RANDBETWEEN(1,15),2)</f>
        <v>006</v>
      </c>
      <c r="G22" s="4" t="str">
        <f>conf!$A$2</f>
        <v>Tanjungsari</v>
      </c>
      <c r="H22" s="3" t="s">
        <v>54</v>
      </c>
      <c r="I22">
        <f t="shared" si="0"/>
        <v>58</v>
      </c>
    </row>
    <row r="23" spans="1:9" x14ac:dyDescent="0.35">
      <c r="A23">
        <v>22</v>
      </c>
      <c r="B23" s="1" t="s">
        <v>174</v>
      </c>
      <c r="C23" s="2" t="s">
        <v>125</v>
      </c>
      <c r="D23" s="2" t="str">
        <f ca="1">INDEX(conf!$B$2:$D$16,RANDBETWEEN(1,8),1)</f>
        <v>Sindangjaya</v>
      </c>
      <c r="E23" s="2" t="str">
        <f ca="1">INDEX(conf!$B$2:$D$16,RANDBETWEEN(1,15),3)</f>
        <v>014</v>
      </c>
      <c r="F23" s="2" t="str">
        <f ca="1">INDEX(conf!$B$2:$D$16,RANDBETWEEN(1,15),2)</f>
        <v>003</v>
      </c>
      <c r="G23" s="4" t="str">
        <f>conf!$A$2</f>
        <v>Tanjungsari</v>
      </c>
      <c r="H23" t="s">
        <v>55</v>
      </c>
      <c r="I23">
        <f t="shared" si="0"/>
        <v>57</v>
      </c>
    </row>
    <row r="24" spans="1:9" x14ac:dyDescent="0.35">
      <c r="A24">
        <v>23</v>
      </c>
      <c r="B24" s="1" t="s">
        <v>174</v>
      </c>
      <c r="C24" s="2" t="s">
        <v>126</v>
      </c>
      <c r="D24" s="2" t="str">
        <f ca="1">INDEX(conf!$B$2:$D$16,RANDBETWEEN(1,8),1)</f>
        <v>Sindang</v>
      </c>
      <c r="E24" s="2" t="str">
        <f ca="1">INDEX(conf!$B$2:$D$16,RANDBETWEEN(1,15),3)</f>
        <v>010</v>
      </c>
      <c r="F24" s="2" t="str">
        <f ca="1">INDEX(conf!$B$2:$D$16,RANDBETWEEN(1,15),2)</f>
        <v>008</v>
      </c>
      <c r="G24" s="4" t="str">
        <f>conf!$A$2</f>
        <v>Tanjungsari</v>
      </c>
      <c r="H24" t="s">
        <v>56</v>
      </c>
      <c r="I24">
        <f t="shared" si="0"/>
        <v>62</v>
      </c>
    </row>
    <row r="25" spans="1:9" x14ac:dyDescent="0.35">
      <c r="A25">
        <v>24</v>
      </c>
      <c r="B25" s="1" t="s">
        <v>174</v>
      </c>
      <c r="C25" s="2" t="s">
        <v>127</v>
      </c>
      <c r="D25" s="2" t="str">
        <f ca="1">INDEX(conf!$B$2:$D$16,RANDBETWEEN(1,8),1)</f>
        <v>Kubangsari</v>
      </c>
      <c r="E25" s="2" t="str">
        <f ca="1">INDEX(conf!$B$2:$D$16,RANDBETWEEN(1,15),3)</f>
        <v>004</v>
      </c>
      <c r="F25" s="2" t="str">
        <f ca="1">INDEX(conf!$B$2:$D$16,RANDBETWEEN(1,15),2)</f>
        <v>004</v>
      </c>
      <c r="G25" s="4" t="str">
        <f>conf!$A$2</f>
        <v>Tanjungsari</v>
      </c>
      <c r="H25" t="s">
        <v>57</v>
      </c>
      <c r="I25">
        <f t="shared" si="0"/>
        <v>84</v>
      </c>
    </row>
    <row r="26" spans="1:9" x14ac:dyDescent="0.35">
      <c r="A26">
        <v>25</v>
      </c>
      <c r="B26" s="1" t="s">
        <v>174</v>
      </c>
      <c r="C26" s="2" t="s">
        <v>128</v>
      </c>
      <c r="D26" s="2" t="str">
        <f ca="1">INDEX(conf!$B$2:$D$16,RANDBETWEEN(1,8),1)</f>
        <v>Mandala</v>
      </c>
      <c r="E26" s="2" t="str">
        <f ca="1">INDEX(conf!$B$2:$D$16,RANDBETWEEN(1,15),3)</f>
        <v>013</v>
      </c>
      <c r="F26" s="2" t="str">
        <f ca="1">INDEX(conf!$B$2:$D$16,RANDBETWEEN(1,15),2)</f>
        <v>005</v>
      </c>
      <c r="G26" s="4" t="str">
        <f>conf!$A$2</f>
        <v>Tanjungsari</v>
      </c>
      <c r="H26" t="s">
        <v>58</v>
      </c>
      <c r="I26">
        <f t="shared" si="0"/>
        <v>57</v>
      </c>
    </row>
    <row r="27" spans="1:9" x14ac:dyDescent="0.35">
      <c r="A27">
        <v>26</v>
      </c>
      <c r="B27" s="1" t="s">
        <v>174</v>
      </c>
      <c r="C27" s="2" t="s">
        <v>129</v>
      </c>
      <c r="D27" s="2" t="str">
        <f ca="1">INDEX(conf!$B$2:$D$16,RANDBETWEEN(1,8),1)</f>
        <v>Mandala</v>
      </c>
      <c r="E27" s="2" t="str">
        <f ca="1">INDEX(conf!$B$2:$D$16,RANDBETWEEN(1,15),3)</f>
        <v>010</v>
      </c>
      <c r="F27" s="2" t="str">
        <f ca="1">INDEX(conf!$B$2:$D$16,RANDBETWEEN(1,15),2)</f>
        <v>004</v>
      </c>
      <c r="G27" s="4" t="str">
        <f>conf!$A$2</f>
        <v>Tanjungsari</v>
      </c>
      <c r="H27" t="s">
        <v>59</v>
      </c>
      <c r="I27">
        <f t="shared" si="0"/>
        <v>67</v>
      </c>
    </row>
    <row r="28" spans="1:9" x14ac:dyDescent="0.35">
      <c r="A28">
        <v>27</v>
      </c>
      <c r="B28" s="1" t="s">
        <v>174</v>
      </c>
      <c r="C28" s="2" t="s">
        <v>130</v>
      </c>
      <c r="D28" s="2" t="str">
        <f ca="1">INDEX(conf!$B$2:$D$16,RANDBETWEEN(1,8),1)</f>
        <v>Sukamaju</v>
      </c>
      <c r="E28" s="2" t="str">
        <f ca="1">INDEX(conf!$B$2:$D$16,RANDBETWEEN(1,15),3)</f>
        <v>014</v>
      </c>
      <c r="F28" s="2" t="str">
        <f ca="1">INDEX(conf!$B$2:$D$16,RANDBETWEEN(1,15),2)</f>
        <v>013</v>
      </c>
      <c r="G28" s="4" t="str">
        <f>conf!$A$2</f>
        <v>Tanjungsari</v>
      </c>
      <c r="H28" t="s">
        <v>60</v>
      </c>
      <c r="I28">
        <f t="shared" si="0"/>
        <v>61</v>
      </c>
    </row>
    <row r="29" spans="1:9" x14ac:dyDescent="0.35">
      <c r="A29">
        <v>28</v>
      </c>
      <c r="B29" s="1" t="s">
        <v>175</v>
      </c>
      <c r="C29" s="2" t="s">
        <v>131</v>
      </c>
      <c r="D29" s="2" t="str">
        <f ca="1">INDEX(conf!$B$2:$D$16,RANDBETWEEN(1,8),1)</f>
        <v>Cipinang</v>
      </c>
      <c r="E29" s="2" t="str">
        <f ca="1">INDEX(conf!$B$2:$D$16,RANDBETWEEN(1,15),3)</f>
        <v>004</v>
      </c>
      <c r="F29" s="2" t="str">
        <f ca="1">INDEX(conf!$B$2:$D$16,RANDBETWEEN(1,15),2)</f>
        <v>011</v>
      </c>
      <c r="G29" s="4" t="str">
        <f>conf!$A$2</f>
        <v>Tanjungsari</v>
      </c>
      <c r="H29" t="s">
        <v>61</v>
      </c>
      <c r="I29">
        <f t="shared" si="0"/>
        <v>57</v>
      </c>
    </row>
    <row r="30" spans="1:9" x14ac:dyDescent="0.35">
      <c r="A30">
        <v>29</v>
      </c>
      <c r="B30" s="1" t="s">
        <v>175</v>
      </c>
      <c r="C30" s="2" t="s">
        <v>32</v>
      </c>
      <c r="D30" s="2" t="str">
        <f ca="1">INDEX(conf!$B$2:$D$16,RANDBETWEEN(1,8),1)</f>
        <v>Garunggang</v>
      </c>
      <c r="E30" s="2" t="str">
        <f ca="1">INDEX(conf!$B$2:$D$16,RANDBETWEEN(1,15),3)</f>
        <v>011</v>
      </c>
      <c r="F30" s="2" t="str">
        <f ca="1">INDEX(conf!$B$2:$D$16,RANDBETWEEN(1,15),2)</f>
        <v>007</v>
      </c>
      <c r="G30" s="4" t="str">
        <f>conf!$A$2</f>
        <v>Tanjungsari</v>
      </c>
      <c r="H30" t="s">
        <v>62</v>
      </c>
      <c r="I30">
        <f t="shared" si="0"/>
        <v>59</v>
      </c>
    </row>
    <row r="31" spans="1:9" x14ac:dyDescent="0.35">
      <c r="A31">
        <v>30</v>
      </c>
      <c r="B31" s="1" t="s">
        <v>175</v>
      </c>
      <c r="C31" s="2" t="s">
        <v>132</v>
      </c>
      <c r="D31" s="2" t="str">
        <f ca="1">INDEX(conf!$B$2:$D$16,RANDBETWEEN(1,8),1)</f>
        <v>Sindang</v>
      </c>
      <c r="E31" s="2" t="str">
        <f ca="1">INDEX(conf!$B$2:$D$16,RANDBETWEEN(1,15),3)</f>
        <v>007</v>
      </c>
      <c r="F31" s="2" t="str">
        <f ca="1">INDEX(conf!$B$2:$D$16,RANDBETWEEN(1,15),2)</f>
        <v>001</v>
      </c>
      <c r="G31" s="4" t="str">
        <f>conf!$A$2</f>
        <v>Tanjungsari</v>
      </c>
      <c r="H31" t="s">
        <v>63</v>
      </c>
      <c r="I31">
        <f t="shared" si="0"/>
        <v>61</v>
      </c>
    </row>
    <row r="32" spans="1:9" x14ac:dyDescent="0.35">
      <c r="B32" s="1" t="s">
        <v>175</v>
      </c>
      <c r="C32" s="2" t="s">
        <v>133</v>
      </c>
      <c r="D32" s="2" t="str">
        <f ca="1">INDEX(conf!$B$2:$D$16,RANDBETWEEN(1,8),1)</f>
        <v>Garunggang</v>
      </c>
      <c r="E32" s="2" t="str">
        <f ca="1">INDEX(conf!$B$2:$D$16,RANDBETWEEN(1,15),3)</f>
        <v>003</v>
      </c>
      <c r="F32" s="2" t="str">
        <f ca="1">INDEX(conf!$B$2:$D$16,RANDBETWEEN(1,15),2)</f>
        <v>003</v>
      </c>
      <c r="G32" s="4" t="str">
        <f>conf!$A$2</f>
        <v>Tanjungsari</v>
      </c>
      <c r="H32" t="s">
        <v>64</v>
      </c>
    </row>
    <row r="33" spans="2:8" x14ac:dyDescent="0.35">
      <c r="B33" s="1" t="s">
        <v>175</v>
      </c>
      <c r="C33" s="2" t="s">
        <v>33</v>
      </c>
      <c r="D33" s="2" t="str">
        <f ca="1">INDEX(conf!$B$2:$D$16,RANDBETWEEN(1,8),1)</f>
        <v>Cacaban</v>
      </c>
      <c r="E33" s="2" t="str">
        <f ca="1">INDEX(conf!$B$2:$D$16,RANDBETWEEN(1,15),3)</f>
        <v>011</v>
      </c>
      <c r="F33" s="2" t="str">
        <f ca="1">INDEX(conf!$B$2:$D$16,RANDBETWEEN(1,15),2)</f>
        <v>012</v>
      </c>
      <c r="G33" s="4" t="str">
        <f>conf!$A$2</f>
        <v>Tanjungsari</v>
      </c>
      <c r="H33" t="s">
        <v>65</v>
      </c>
    </row>
    <row r="34" spans="2:8" x14ac:dyDescent="0.35">
      <c r="B34" s="1" t="s">
        <v>175</v>
      </c>
      <c r="C34" s="2" t="s">
        <v>134</v>
      </c>
      <c r="D34" s="2" t="str">
        <f ca="1">INDEX(conf!$B$2:$D$16,RANDBETWEEN(1,8),1)</f>
        <v>Mandala</v>
      </c>
      <c r="E34" s="2" t="str">
        <f ca="1">INDEX(conf!$B$2:$D$16,RANDBETWEEN(1,15),3)</f>
        <v>004</v>
      </c>
      <c r="F34" s="2" t="str">
        <f ca="1">INDEX(conf!$B$2:$D$16,RANDBETWEEN(1,15),2)</f>
        <v>002</v>
      </c>
      <c r="G34" s="4" t="str">
        <f>conf!$A$2</f>
        <v>Tanjungsari</v>
      </c>
      <c r="H34" t="s">
        <v>66</v>
      </c>
    </row>
    <row r="35" spans="2:8" x14ac:dyDescent="0.35">
      <c r="B35" s="1" t="s">
        <v>175</v>
      </c>
      <c r="C35" s="2" t="s">
        <v>135</v>
      </c>
      <c r="D35" s="2" t="str">
        <f ca="1">INDEX(conf!$B$2:$D$16,RANDBETWEEN(1,8),1)</f>
        <v>Kubangsari</v>
      </c>
      <c r="E35" s="2" t="str">
        <f ca="1">INDEX(conf!$B$2:$D$16,RANDBETWEEN(1,15),3)</f>
        <v>013</v>
      </c>
      <c r="F35" s="2" t="str">
        <f ca="1">INDEX(conf!$B$2:$D$16,RANDBETWEEN(1,15),2)</f>
        <v>013</v>
      </c>
      <c r="G35" s="4" t="str">
        <f>conf!$A$2</f>
        <v>Tanjungsari</v>
      </c>
      <c r="H35" t="s">
        <v>67</v>
      </c>
    </row>
    <row r="36" spans="2:8" x14ac:dyDescent="0.35">
      <c r="B36" s="1" t="s">
        <v>175</v>
      </c>
      <c r="C36" s="2" t="s">
        <v>136</v>
      </c>
      <c r="D36" s="2" t="str">
        <f ca="1">INDEX(conf!$B$2:$D$16,RANDBETWEEN(1,8),1)</f>
        <v>Mandala</v>
      </c>
      <c r="E36" s="2" t="str">
        <f ca="1">INDEX(conf!$B$2:$D$16,RANDBETWEEN(1,15),3)</f>
        <v>002</v>
      </c>
      <c r="F36" s="2" t="str">
        <f ca="1">INDEX(conf!$B$2:$D$16,RANDBETWEEN(1,15),2)</f>
        <v>011</v>
      </c>
      <c r="G36" s="4" t="str">
        <f>conf!$A$2</f>
        <v>Tanjungsari</v>
      </c>
      <c r="H36" t="s">
        <v>68</v>
      </c>
    </row>
    <row r="37" spans="2:8" x14ac:dyDescent="0.35">
      <c r="B37" s="1" t="s">
        <v>175</v>
      </c>
      <c r="C37" s="2" t="s">
        <v>137</v>
      </c>
      <c r="D37" s="2" t="str">
        <f ca="1">INDEX(conf!$B$2:$D$16,RANDBETWEEN(1,8),1)</f>
        <v>Sindangjaya</v>
      </c>
      <c r="E37" s="2" t="str">
        <f ca="1">INDEX(conf!$B$2:$D$16,RANDBETWEEN(1,15),3)</f>
        <v>007</v>
      </c>
      <c r="F37" s="2" t="str">
        <f ca="1">INDEX(conf!$B$2:$D$16,RANDBETWEEN(1,15),2)</f>
        <v>002</v>
      </c>
      <c r="G37" s="4" t="str">
        <f>conf!$A$2</f>
        <v>Tanjungsari</v>
      </c>
      <c r="H37" t="s">
        <v>69</v>
      </c>
    </row>
    <row r="38" spans="2:8" x14ac:dyDescent="0.35">
      <c r="B38" s="1" t="s">
        <v>176</v>
      </c>
      <c r="C38" s="2" t="s">
        <v>138</v>
      </c>
      <c r="D38" s="2" t="str">
        <f ca="1">INDEX(conf!$B$2:$D$16,RANDBETWEEN(1,8),1)</f>
        <v>Cipinang</v>
      </c>
      <c r="E38" s="2" t="str">
        <f ca="1">INDEX(conf!$B$2:$D$16,RANDBETWEEN(1,15),3)</f>
        <v>006</v>
      </c>
      <c r="F38" s="2" t="str">
        <f ca="1">INDEX(conf!$B$2:$D$16,RANDBETWEEN(1,15),2)</f>
        <v>003</v>
      </c>
      <c r="G38" s="4" t="str">
        <f>conf!$A$2</f>
        <v>Tanjungsari</v>
      </c>
      <c r="H38" t="s">
        <v>70</v>
      </c>
    </row>
    <row r="39" spans="2:8" x14ac:dyDescent="0.35">
      <c r="B39" s="1" t="s">
        <v>176</v>
      </c>
      <c r="C39" s="2" t="s">
        <v>139</v>
      </c>
      <c r="D39" s="2" t="str">
        <f ca="1">INDEX(conf!$B$2:$D$16,RANDBETWEEN(1,8),1)</f>
        <v>Mandala</v>
      </c>
      <c r="E39" s="2" t="str">
        <f ca="1">INDEX(conf!$B$2:$D$16,RANDBETWEEN(1,15),3)</f>
        <v>014</v>
      </c>
      <c r="F39" s="2" t="str">
        <f ca="1">INDEX(conf!$B$2:$D$16,RANDBETWEEN(1,15),2)</f>
        <v>006</v>
      </c>
      <c r="G39" s="4" t="str">
        <f>conf!$A$2</f>
        <v>Tanjungsari</v>
      </c>
      <c r="H39" t="s">
        <v>71</v>
      </c>
    </row>
    <row r="40" spans="2:8" x14ac:dyDescent="0.35">
      <c r="B40" s="1" t="s">
        <v>176</v>
      </c>
      <c r="C40" s="2" t="s">
        <v>140</v>
      </c>
      <c r="D40" s="2" t="str">
        <f ca="1">INDEX(conf!$B$2:$D$16,RANDBETWEEN(1,8),1)</f>
        <v>Cacaban</v>
      </c>
      <c r="E40" s="2" t="str">
        <f ca="1">INDEX(conf!$B$2:$D$16,RANDBETWEEN(1,15),3)</f>
        <v>015</v>
      </c>
      <c r="F40" s="2" t="str">
        <f ca="1">INDEX(conf!$B$2:$D$16,RANDBETWEEN(1,15),2)</f>
        <v>014</v>
      </c>
      <c r="G40" s="4" t="str">
        <f>conf!$A$2</f>
        <v>Tanjungsari</v>
      </c>
      <c r="H40" t="s">
        <v>72</v>
      </c>
    </row>
    <row r="41" spans="2:8" x14ac:dyDescent="0.35">
      <c r="B41" s="1" t="s">
        <v>176</v>
      </c>
      <c r="C41" s="2" t="s">
        <v>141</v>
      </c>
      <c r="D41" s="2" t="str">
        <f ca="1">INDEX(conf!$B$2:$D$16,RANDBETWEEN(1,8),1)</f>
        <v>Kubangsari</v>
      </c>
      <c r="E41" s="2" t="str">
        <f ca="1">INDEX(conf!$B$2:$D$16,RANDBETWEEN(1,15),3)</f>
        <v>012</v>
      </c>
      <c r="F41" s="2" t="str">
        <f ca="1">INDEX(conf!$B$2:$D$16,RANDBETWEEN(1,15),2)</f>
        <v>001</v>
      </c>
      <c r="G41" s="4" t="str">
        <f>conf!$A$2</f>
        <v>Tanjungsari</v>
      </c>
      <c r="H41" t="s">
        <v>73</v>
      </c>
    </row>
    <row r="42" spans="2:8" x14ac:dyDescent="0.35">
      <c r="B42" s="1" t="s">
        <v>176</v>
      </c>
      <c r="C42" s="2" t="s">
        <v>142</v>
      </c>
      <c r="D42" s="2" t="str">
        <f ca="1">INDEX(conf!$B$2:$D$16,RANDBETWEEN(1,8),1)</f>
        <v>Sindangjaya</v>
      </c>
      <c r="E42" s="2" t="str">
        <f ca="1">INDEX(conf!$B$2:$D$16,RANDBETWEEN(1,15),3)</f>
        <v>013</v>
      </c>
      <c r="F42" s="2" t="str">
        <f ca="1">INDEX(conf!$B$2:$D$16,RANDBETWEEN(1,15),2)</f>
        <v>013</v>
      </c>
      <c r="G42" s="4" t="str">
        <f>conf!$A$2</f>
        <v>Tanjungsari</v>
      </c>
      <c r="H42" t="s">
        <v>74</v>
      </c>
    </row>
    <row r="43" spans="2:8" x14ac:dyDescent="0.35">
      <c r="B43" s="1" t="s">
        <v>176</v>
      </c>
      <c r="C43" s="2" t="s">
        <v>143</v>
      </c>
      <c r="D43" s="2" t="str">
        <f ca="1">INDEX(conf!$B$2:$D$16,RANDBETWEEN(1,8),1)</f>
        <v>Garunggang</v>
      </c>
      <c r="E43" s="2" t="str">
        <f ca="1">INDEX(conf!$B$2:$D$16,RANDBETWEEN(1,15),3)</f>
        <v>008</v>
      </c>
      <c r="F43" s="2" t="str">
        <f ca="1">INDEX(conf!$B$2:$D$16,RANDBETWEEN(1,15),2)</f>
        <v>002</v>
      </c>
      <c r="G43" s="4" t="str">
        <f>conf!$A$2</f>
        <v>Tanjungsari</v>
      </c>
      <c r="H43" t="s">
        <v>75</v>
      </c>
    </row>
    <row r="44" spans="2:8" x14ac:dyDescent="0.35">
      <c r="B44" s="1" t="s">
        <v>176</v>
      </c>
      <c r="C44" s="2" t="s">
        <v>144</v>
      </c>
      <c r="D44" s="2" t="str">
        <f ca="1">INDEX(conf!$B$2:$D$16,RANDBETWEEN(1,8),1)</f>
        <v>Sukamaju</v>
      </c>
      <c r="E44" s="2" t="str">
        <f ca="1">INDEX(conf!$B$2:$D$16,RANDBETWEEN(1,15),3)</f>
        <v>005</v>
      </c>
      <c r="F44" s="2" t="str">
        <f ca="1">INDEX(conf!$B$2:$D$16,RANDBETWEEN(1,15),2)</f>
        <v>006</v>
      </c>
      <c r="G44" s="4" t="str">
        <f>conf!$A$2</f>
        <v>Tanjungsari</v>
      </c>
      <c r="H44" t="s">
        <v>76</v>
      </c>
    </row>
    <row r="45" spans="2:8" x14ac:dyDescent="0.35">
      <c r="B45" s="1" t="s">
        <v>176</v>
      </c>
      <c r="C45" s="2" t="s">
        <v>145</v>
      </c>
      <c r="D45" s="2" t="str">
        <f ca="1">INDEX(conf!$B$2:$D$16,RANDBETWEEN(1,8),1)</f>
        <v>Mandala</v>
      </c>
      <c r="E45" s="2" t="str">
        <f ca="1">INDEX(conf!$B$2:$D$16,RANDBETWEEN(1,15),3)</f>
        <v>013</v>
      </c>
      <c r="F45" s="2" t="str">
        <f ca="1">INDEX(conf!$B$2:$D$16,RANDBETWEEN(1,15),2)</f>
        <v>013</v>
      </c>
      <c r="G45" s="4" t="str">
        <f>conf!$A$2</f>
        <v>Tanjungsari</v>
      </c>
      <c r="H45" t="s">
        <v>77</v>
      </c>
    </row>
    <row r="46" spans="2:8" x14ac:dyDescent="0.35">
      <c r="B46" s="1" t="s">
        <v>176</v>
      </c>
      <c r="C46" s="2" t="s">
        <v>146</v>
      </c>
      <c r="D46" s="2" t="str">
        <f ca="1">INDEX(conf!$B$2:$D$16,RANDBETWEEN(1,8),1)</f>
        <v>Cacaban</v>
      </c>
      <c r="E46" s="2" t="str">
        <f ca="1">INDEX(conf!$B$2:$D$16,RANDBETWEEN(1,15),3)</f>
        <v>011</v>
      </c>
      <c r="F46" s="2" t="str">
        <f ca="1">INDEX(conf!$B$2:$D$16,RANDBETWEEN(1,15),2)</f>
        <v>012</v>
      </c>
      <c r="G46" s="4" t="str">
        <f>conf!$A$2</f>
        <v>Tanjungsari</v>
      </c>
      <c r="H46" t="s">
        <v>78</v>
      </c>
    </row>
    <row r="47" spans="2:8" x14ac:dyDescent="0.35">
      <c r="B47" s="1" t="s">
        <v>177</v>
      </c>
      <c r="C47" s="2" t="s">
        <v>147</v>
      </c>
      <c r="D47" s="2" t="str">
        <f ca="1">INDEX(conf!$B$2:$D$16,RANDBETWEEN(1,8),1)</f>
        <v>Sindang</v>
      </c>
      <c r="E47" s="2" t="str">
        <f ca="1">INDEX(conf!$B$2:$D$16,RANDBETWEEN(1,15),3)</f>
        <v>009</v>
      </c>
      <c r="F47" s="2" t="str">
        <f ca="1">INDEX(conf!$B$2:$D$16,RANDBETWEEN(1,15),2)</f>
        <v>005</v>
      </c>
      <c r="G47" s="4" t="str">
        <f>conf!$A$2</f>
        <v>Tanjungsari</v>
      </c>
      <c r="H47" t="s">
        <v>79</v>
      </c>
    </row>
    <row r="48" spans="2:8" x14ac:dyDescent="0.35">
      <c r="B48" s="1" t="s">
        <v>177</v>
      </c>
      <c r="C48" s="2" t="s">
        <v>148</v>
      </c>
      <c r="D48" s="2" t="str">
        <f ca="1">INDEX(conf!$B$2:$D$16,RANDBETWEEN(1,8),1)</f>
        <v>Sindang</v>
      </c>
      <c r="E48" s="2" t="str">
        <f ca="1">INDEX(conf!$B$2:$D$16,RANDBETWEEN(1,15),3)</f>
        <v>001</v>
      </c>
      <c r="F48" s="2" t="str">
        <f ca="1">INDEX(conf!$B$2:$D$16,RANDBETWEEN(1,15),2)</f>
        <v>012</v>
      </c>
      <c r="G48" s="4" t="str">
        <f>conf!$A$2</f>
        <v>Tanjungsari</v>
      </c>
      <c r="H48" t="s">
        <v>80</v>
      </c>
    </row>
    <row r="49" spans="2:8" x14ac:dyDescent="0.35">
      <c r="B49" s="1" t="s">
        <v>177</v>
      </c>
      <c r="C49" s="2" t="s">
        <v>149</v>
      </c>
      <c r="D49" s="2" t="str">
        <f ca="1">INDEX(conf!$B$2:$D$16,RANDBETWEEN(1,8),1)</f>
        <v>Garunggang</v>
      </c>
      <c r="E49" s="2" t="str">
        <f ca="1">INDEX(conf!$B$2:$D$16,RANDBETWEEN(1,15),3)</f>
        <v>003</v>
      </c>
      <c r="F49" s="2" t="str">
        <f ca="1">INDEX(conf!$B$2:$D$16,RANDBETWEEN(1,15),2)</f>
        <v>005</v>
      </c>
      <c r="G49" s="4" t="str">
        <f>conf!$A$2</f>
        <v>Tanjungsari</v>
      </c>
      <c r="H49" t="s">
        <v>81</v>
      </c>
    </row>
    <row r="50" spans="2:8" x14ac:dyDescent="0.35">
      <c r="B50" s="1" t="s">
        <v>177</v>
      </c>
      <c r="C50" s="2" t="s">
        <v>150</v>
      </c>
      <c r="D50" s="2" t="str">
        <f ca="1">INDEX(conf!$B$2:$D$16,RANDBETWEEN(1,8),1)</f>
        <v>Mandala</v>
      </c>
      <c r="E50" s="2" t="str">
        <f ca="1">INDEX(conf!$B$2:$D$16,RANDBETWEEN(1,15),3)</f>
        <v>001</v>
      </c>
      <c r="F50" s="2" t="str">
        <f ca="1">INDEX(conf!$B$2:$D$16,RANDBETWEEN(1,15),2)</f>
        <v>011</v>
      </c>
      <c r="G50" s="4" t="str">
        <f>conf!$A$2</f>
        <v>Tanjungsari</v>
      </c>
      <c r="H50" t="s">
        <v>82</v>
      </c>
    </row>
    <row r="51" spans="2:8" x14ac:dyDescent="0.35">
      <c r="B51" s="1" t="s">
        <v>177</v>
      </c>
      <c r="C51" s="2" t="s">
        <v>151</v>
      </c>
      <c r="D51" s="2" t="str">
        <f ca="1">INDEX(conf!$B$2:$D$16,RANDBETWEEN(1,8),1)</f>
        <v>Sindang</v>
      </c>
      <c r="E51" s="2" t="str">
        <f ca="1">INDEX(conf!$B$2:$D$16,RANDBETWEEN(1,15),3)</f>
        <v>003</v>
      </c>
      <c r="F51" s="2" t="str">
        <f ca="1">INDEX(conf!$B$2:$D$16,RANDBETWEEN(1,15),2)</f>
        <v>013</v>
      </c>
      <c r="G51" s="4" t="str">
        <f>conf!$A$2</f>
        <v>Tanjungsari</v>
      </c>
      <c r="H51" t="s">
        <v>83</v>
      </c>
    </row>
    <row r="52" spans="2:8" x14ac:dyDescent="0.35">
      <c r="B52" s="1" t="s">
        <v>177</v>
      </c>
      <c r="C52" s="2" t="s">
        <v>152</v>
      </c>
      <c r="D52" s="2" t="str">
        <f ca="1">INDEX(conf!$B$2:$D$16,RANDBETWEEN(1,8),1)</f>
        <v>Cipinang</v>
      </c>
      <c r="E52" s="2" t="str">
        <f ca="1">INDEX(conf!$B$2:$D$16,RANDBETWEEN(1,15),3)</f>
        <v>013</v>
      </c>
      <c r="F52" s="2" t="str">
        <f ca="1">INDEX(conf!$B$2:$D$16,RANDBETWEEN(1,15),2)</f>
        <v>004</v>
      </c>
      <c r="G52" s="4" t="str">
        <f>conf!$A$2</f>
        <v>Tanjungsari</v>
      </c>
      <c r="H52" t="s">
        <v>84</v>
      </c>
    </row>
    <row r="53" spans="2:8" x14ac:dyDescent="0.35">
      <c r="B53" s="1" t="s">
        <v>177</v>
      </c>
      <c r="C53" s="2" t="s">
        <v>153</v>
      </c>
      <c r="D53" s="2" t="str">
        <f ca="1">INDEX(conf!$B$2:$D$16,RANDBETWEEN(1,8),1)</f>
        <v>Sukamaju</v>
      </c>
      <c r="E53" s="2" t="str">
        <f ca="1">INDEX(conf!$B$2:$D$16,RANDBETWEEN(1,15),3)</f>
        <v>007</v>
      </c>
      <c r="F53" s="2" t="str">
        <f ca="1">INDEX(conf!$B$2:$D$16,RANDBETWEEN(1,15),2)</f>
        <v>011</v>
      </c>
      <c r="G53" s="4" t="str">
        <f>conf!$A$2</f>
        <v>Tanjungsari</v>
      </c>
      <c r="H53" t="s">
        <v>85</v>
      </c>
    </row>
    <row r="54" spans="2:8" x14ac:dyDescent="0.35">
      <c r="B54" s="1" t="s">
        <v>177</v>
      </c>
      <c r="C54" s="2" t="s">
        <v>154</v>
      </c>
      <c r="D54" s="2" t="str">
        <f ca="1">INDEX(conf!$B$2:$D$16,RANDBETWEEN(1,8),1)</f>
        <v>Cacaban</v>
      </c>
      <c r="E54" s="2" t="str">
        <f ca="1">INDEX(conf!$B$2:$D$16,RANDBETWEEN(1,15),3)</f>
        <v>007</v>
      </c>
      <c r="F54" s="2" t="str">
        <f ca="1">INDEX(conf!$B$2:$D$16,RANDBETWEEN(1,15),2)</f>
        <v>008</v>
      </c>
      <c r="G54" s="4" t="str">
        <f>conf!$A$2</f>
        <v>Tanjungsari</v>
      </c>
      <c r="H54" t="s">
        <v>86</v>
      </c>
    </row>
    <row r="55" spans="2:8" x14ac:dyDescent="0.35">
      <c r="B55" s="1" t="s">
        <v>177</v>
      </c>
      <c r="C55" s="2" t="s">
        <v>155</v>
      </c>
      <c r="D55" s="2" t="str">
        <f ca="1">INDEX(conf!$B$2:$D$16,RANDBETWEEN(1,8),1)</f>
        <v>Kubangsari</v>
      </c>
      <c r="E55" s="2" t="str">
        <f ca="1">INDEX(conf!$B$2:$D$16,RANDBETWEEN(1,15),3)</f>
        <v>001</v>
      </c>
      <c r="F55" s="2" t="str">
        <f ca="1">INDEX(conf!$B$2:$D$16,RANDBETWEEN(1,15),2)</f>
        <v>003</v>
      </c>
      <c r="G55" s="4" t="str">
        <f>conf!$A$2</f>
        <v>Tanjungsari</v>
      </c>
      <c r="H55" t="s">
        <v>87</v>
      </c>
    </row>
    <row r="56" spans="2:8" x14ac:dyDescent="0.35">
      <c r="B56" s="1" t="s">
        <v>178</v>
      </c>
      <c r="C56" s="2" t="s">
        <v>156</v>
      </c>
      <c r="D56" s="2" t="str">
        <f ca="1">INDEX(conf!$B$2:$D$16,RANDBETWEEN(1,8),1)</f>
        <v>Sindangjaya</v>
      </c>
      <c r="E56" s="2" t="str">
        <f ca="1">INDEX(conf!$B$2:$D$16,RANDBETWEEN(1,15),3)</f>
        <v>003</v>
      </c>
      <c r="F56" s="2" t="str">
        <f ca="1">INDEX(conf!$B$2:$D$16,RANDBETWEEN(1,15),2)</f>
        <v>009</v>
      </c>
      <c r="G56" s="4" t="str">
        <f>conf!$A$2</f>
        <v>Tanjungsari</v>
      </c>
      <c r="H56" t="s">
        <v>88</v>
      </c>
    </row>
    <row r="57" spans="2:8" x14ac:dyDescent="0.35">
      <c r="B57" s="1" t="s">
        <v>178</v>
      </c>
      <c r="C57" s="2" t="s">
        <v>157</v>
      </c>
      <c r="D57" s="2" t="str">
        <f ca="1">INDEX(conf!$B$2:$D$16,RANDBETWEEN(1,8),1)</f>
        <v>Cipinang</v>
      </c>
      <c r="E57" s="2" t="str">
        <f ca="1">INDEX(conf!$B$2:$D$16,RANDBETWEEN(1,15),3)</f>
        <v>008</v>
      </c>
      <c r="F57" s="2" t="str">
        <f ca="1">INDEX(conf!$B$2:$D$16,RANDBETWEEN(1,15),2)</f>
        <v>013</v>
      </c>
      <c r="G57" s="4" t="str">
        <f>conf!$A$2</f>
        <v>Tanjungsari</v>
      </c>
      <c r="H57" t="s">
        <v>89</v>
      </c>
    </row>
    <row r="58" spans="2:8" x14ac:dyDescent="0.35">
      <c r="B58" s="1" t="s">
        <v>178</v>
      </c>
      <c r="C58" s="2" t="s">
        <v>158</v>
      </c>
      <c r="D58" s="2" t="str">
        <f ca="1">INDEX(conf!$B$2:$D$16,RANDBETWEEN(1,8),1)</f>
        <v>Kubangsari</v>
      </c>
      <c r="E58" s="2" t="str">
        <f ca="1">INDEX(conf!$B$2:$D$16,RANDBETWEEN(1,15),3)</f>
        <v>003</v>
      </c>
      <c r="F58" s="2" t="str">
        <f ca="1">INDEX(conf!$B$2:$D$16,RANDBETWEEN(1,15),2)</f>
        <v>011</v>
      </c>
      <c r="G58" s="4" t="str">
        <f>conf!$A$2</f>
        <v>Tanjungsari</v>
      </c>
      <c r="H58" t="s">
        <v>90</v>
      </c>
    </row>
    <row r="59" spans="2:8" x14ac:dyDescent="0.35">
      <c r="B59" s="1" t="s">
        <v>178</v>
      </c>
      <c r="C59" s="2" t="s">
        <v>159</v>
      </c>
      <c r="D59" s="2" t="str">
        <f ca="1">INDEX(conf!$B$2:$D$16,RANDBETWEEN(1,8),1)</f>
        <v>Garunggang</v>
      </c>
      <c r="E59" s="2" t="str">
        <f ca="1">INDEX(conf!$B$2:$D$16,RANDBETWEEN(1,15),3)</f>
        <v>014</v>
      </c>
      <c r="F59" s="2" t="str">
        <f ca="1">INDEX(conf!$B$2:$D$16,RANDBETWEEN(1,15),2)</f>
        <v>009</v>
      </c>
      <c r="G59" s="4" t="str">
        <f>conf!$A$2</f>
        <v>Tanjungsari</v>
      </c>
      <c r="H59" t="s">
        <v>91</v>
      </c>
    </row>
    <row r="60" spans="2:8" x14ac:dyDescent="0.35">
      <c r="B60" s="1" t="s">
        <v>178</v>
      </c>
      <c r="C60" s="2" t="s">
        <v>160</v>
      </c>
      <c r="D60" s="2" t="str">
        <f ca="1">INDEX(conf!$B$2:$D$16,RANDBETWEEN(1,8),1)</f>
        <v>Kubangsari</v>
      </c>
      <c r="E60" s="2" t="str">
        <f ca="1">INDEX(conf!$B$2:$D$16,RANDBETWEEN(1,15),3)</f>
        <v>004</v>
      </c>
      <c r="F60" s="2" t="str">
        <f ca="1">INDEX(conf!$B$2:$D$16,RANDBETWEEN(1,15),2)</f>
        <v>009</v>
      </c>
      <c r="G60" s="4" t="str">
        <f>conf!$A$2</f>
        <v>Tanjungsari</v>
      </c>
      <c r="H60" t="s">
        <v>92</v>
      </c>
    </row>
    <row r="61" spans="2:8" x14ac:dyDescent="0.35">
      <c r="B61" s="1" t="s">
        <v>178</v>
      </c>
      <c r="C61" s="2" t="s">
        <v>161</v>
      </c>
      <c r="D61" s="2" t="str">
        <f ca="1">INDEX(conf!$B$2:$D$16,RANDBETWEEN(1,8),1)</f>
        <v>Kubangsari</v>
      </c>
      <c r="E61" s="2" t="str">
        <f ca="1">INDEX(conf!$B$2:$D$16,RANDBETWEEN(1,15),3)</f>
        <v>006</v>
      </c>
      <c r="F61" s="2" t="str">
        <f ca="1">INDEX(conf!$B$2:$D$16,RANDBETWEEN(1,15),2)</f>
        <v>003</v>
      </c>
      <c r="G61" s="4" t="str">
        <f>conf!$A$2</f>
        <v>Tanjungsari</v>
      </c>
      <c r="H61" t="s">
        <v>93</v>
      </c>
    </row>
    <row r="62" spans="2:8" x14ac:dyDescent="0.35">
      <c r="B62" s="1" t="s">
        <v>178</v>
      </c>
      <c r="C62" s="2" t="s">
        <v>162</v>
      </c>
      <c r="D62" s="2" t="str">
        <f ca="1">INDEX(conf!$B$2:$D$16,RANDBETWEEN(1,8),1)</f>
        <v>Sukamaju</v>
      </c>
      <c r="E62" s="2" t="str">
        <f ca="1">INDEX(conf!$B$2:$D$16,RANDBETWEEN(1,15),3)</f>
        <v>003</v>
      </c>
      <c r="F62" s="2" t="str">
        <f ca="1">INDEX(conf!$B$2:$D$16,RANDBETWEEN(1,15),2)</f>
        <v>009</v>
      </c>
      <c r="G62" s="4" t="str">
        <f>conf!$A$2</f>
        <v>Tanjungsari</v>
      </c>
      <c r="H62" t="s">
        <v>94</v>
      </c>
    </row>
    <row r="63" spans="2:8" x14ac:dyDescent="0.35">
      <c r="B63" s="1" t="s">
        <v>178</v>
      </c>
      <c r="C63" s="2" t="s">
        <v>163</v>
      </c>
      <c r="D63" s="2" t="str">
        <f ca="1">INDEX(conf!$B$2:$D$16,RANDBETWEEN(1,8),1)</f>
        <v>Cacaban</v>
      </c>
      <c r="E63" s="2" t="str">
        <f ca="1">INDEX(conf!$B$2:$D$16,RANDBETWEEN(1,15),3)</f>
        <v>007</v>
      </c>
      <c r="F63" s="2" t="str">
        <f ca="1">INDEX(conf!$B$2:$D$16,RANDBETWEEN(1,15),2)</f>
        <v>014</v>
      </c>
      <c r="G63" s="4" t="str">
        <f>conf!$A$2</f>
        <v>Tanjungsari</v>
      </c>
      <c r="H63" t="s">
        <v>95</v>
      </c>
    </row>
    <row r="64" spans="2:8" x14ac:dyDescent="0.35">
      <c r="B64" s="1" t="s">
        <v>178</v>
      </c>
      <c r="C64" s="2" t="s">
        <v>164</v>
      </c>
      <c r="D64" s="2" t="str">
        <f ca="1">INDEX(conf!$B$2:$D$16,RANDBETWEEN(1,8),1)</f>
        <v>Kubangsari</v>
      </c>
      <c r="E64" s="2" t="str">
        <f ca="1">INDEX(conf!$B$2:$D$16,RANDBETWEEN(1,15),3)</f>
        <v>004</v>
      </c>
      <c r="F64" s="2" t="str">
        <f ca="1">INDEX(conf!$B$2:$D$16,RANDBETWEEN(1,15),2)</f>
        <v>002</v>
      </c>
      <c r="G64" s="4" t="str">
        <f>conf!$A$2</f>
        <v>Tanjungsari</v>
      </c>
      <c r="H64" t="s">
        <v>96</v>
      </c>
    </row>
    <row r="65" spans="2:8" x14ac:dyDescent="0.35">
      <c r="B65" s="1" t="s">
        <v>179</v>
      </c>
      <c r="C65" s="2" t="s">
        <v>165</v>
      </c>
      <c r="D65" s="2" t="str">
        <f ca="1">INDEX(conf!$B$2:$D$16,RANDBETWEEN(1,8),1)</f>
        <v>Cacaban</v>
      </c>
      <c r="E65" s="2" t="str">
        <f ca="1">INDEX(conf!$B$2:$D$16,RANDBETWEEN(1,15),3)</f>
        <v>012</v>
      </c>
      <c r="F65" s="2" t="str">
        <f ca="1">INDEX(conf!$B$2:$D$16,RANDBETWEEN(1,15),2)</f>
        <v>010</v>
      </c>
      <c r="G65" s="4" t="str">
        <f>conf!$A$2</f>
        <v>Tanjungsari</v>
      </c>
      <c r="H65" t="s">
        <v>97</v>
      </c>
    </row>
    <row r="66" spans="2:8" x14ac:dyDescent="0.35">
      <c r="B66" s="1" t="s">
        <v>179</v>
      </c>
      <c r="C66" s="2" t="s">
        <v>166</v>
      </c>
      <c r="D66" s="2" t="str">
        <f ca="1">INDEX(conf!$B$2:$D$16,RANDBETWEEN(1,8),1)</f>
        <v>Sukamaju</v>
      </c>
      <c r="E66" s="2" t="str">
        <f ca="1">INDEX(conf!$B$2:$D$16,RANDBETWEEN(1,15),3)</f>
        <v>012</v>
      </c>
      <c r="F66" s="2" t="str">
        <f ca="1">INDEX(conf!$B$2:$D$16,RANDBETWEEN(1,15),2)</f>
        <v>002</v>
      </c>
      <c r="G66" s="4" t="str">
        <f>conf!$A$2</f>
        <v>Tanjungsari</v>
      </c>
      <c r="H66" t="s">
        <v>98</v>
      </c>
    </row>
    <row r="67" spans="2:8" x14ac:dyDescent="0.35">
      <c r="B67" s="1" t="s">
        <v>179</v>
      </c>
      <c r="C67" s="2" t="s">
        <v>167</v>
      </c>
      <c r="D67" s="2" t="str">
        <f ca="1">INDEX(conf!$B$2:$D$16,RANDBETWEEN(1,8),1)</f>
        <v>Sukamaju</v>
      </c>
      <c r="E67" s="2" t="str">
        <f ca="1">INDEX(conf!$B$2:$D$16,RANDBETWEEN(1,15),3)</f>
        <v>008</v>
      </c>
      <c r="F67" s="2" t="str">
        <f ca="1">INDEX(conf!$B$2:$D$16,RANDBETWEEN(1,15),2)</f>
        <v>010</v>
      </c>
      <c r="G67" s="4" t="str">
        <f>conf!$A$2</f>
        <v>Tanjungsari</v>
      </c>
      <c r="H67" t="s">
        <v>99</v>
      </c>
    </row>
    <row r="68" spans="2:8" x14ac:dyDescent="0.35">
      <c r="B68" s="1" t="s">
        <v>179</v>
      </c>
      <c r="C68" s="2" t="s">
        <v>168</v>
      </c>
      <c r="D68" s="2" t="str">
        <f ca="1">INDEX(conf!$B$2:$D$16,RANDBETWEEN(1,8),1)</f>
        <v>Sukamaju</v>
      </c>
      <c r="E68" s="2" t="str">
        <f ca="1">INDEX(conf!$B$2:$D$16,RANDBETWEEN(1,15),3)</f>
        <v>001</v>
      </c>
      <c r="F68" s="2" t="str">
        <f ca="1">INDEX(conf!$B$2:$D$16,RANDBETWEEN(1,15),2)</f>
        <v>011</v>
      </c>
      <c r="G68" s="4" t="str">
        <f>conf!$A$2</f>
        <v>Tanjungsari</v>
      </c>
      <c r="H68" t="s">
        <v>100</v>
      </c>
    </row>
    <row r="69" spans="2:8" x14ac:dyDescent="0.35">
      <c r="B69" s="1" t="s">
        <v>179</v>
      </c>
      <c r="C69" s="2" t="s">
        <v>169</v>
      </c>
      <c r="D69" s="2" t="str">
        <f ca="1">INDEX(conf!$B$2:$D$16,RANDBETWEEN(1,8),1)</f>
        <v>Kubangsari</v>
      </c>
      <c r="E69" s="2" t="str">
        <f ca="1">INDEX(conf!$B$2:$D$16,RANDBETWEEN(1,15),3)</f>
        <v>015</v>
      </c>
      <c r="F69" s="2" t="str">
        <f ca="1">INDEX(conf!$B$2:$D$16,RANDBETWEEN(1,15),2)</f>
        <v>007</v>
      </c>
      <c r="G69" s="4" t="str">
        <f>conf!$A$2</f>
        <v>Tanjungsari</v>
      </c>
      <c r="H69" t="s">
        <v>101</v>
      </c>
    </row>
    <row r="70" spans="2:8" x14ac:dyDescent="0.35">
      <c r="B70" s="1" t="s">
        <v>179</v>
      </c>
      <c r="C70" s="2" t="s">
        <v>170</v>
      </c>
      <c r="D70" s="2" t="str">
        <f ca="1">INDEX(conf!$B$2:$D$16,RANDBETWEEN(1,8),1)</f>
        <v>Sindang</v>
      </c>
      <c r="E70" s="2" t="str">
        <f ca="1">INDEX(conf!$B$2:$D$16,RANDBETWEEN(1,15),3)</f>
        <v>014</v>
      </c>
      <c r="F70" s="2" t="str">
        <f ca="1">INDEX(conf!$B$2:$D$16,RANDBETWEEN(1,15),2)</f>
        <v>010</v>
      </c>
      <c r="G70" s="4" t="str">
        <f>conf!$A$2</f>
        <v>Tanjungsari</v>
      </c>
      <c r="H70" t="s">
        <v>102</v>
      </c>
    </row>
    <row r="71" spans="2:8" x14ac:dyDescent="0.35">
      <c r="B71" s="1" t="s">
        <v>179</v>
      </c>
      <c r="C71" s="2" t="s">
        <v>171</v>
      </c>
      <c r="D71" s="2" t="str">
        <f ca="1">INDEX(conf!$B$2:$D$16,RANDBETWEEN(1,8),1)</f>
        <v>Sindangjaya</v>
      </c>
      <c r="E71" s="2" t="str">
        <f ca="1">INDEX(conf!$B$2:$D$16,RANDBETWEEN(1,15),3)</f>
        <v>015</v>
      </c>
      <c r="F71" s="2" t="str">
        <f ca="1">INDEX(conf!$B$2:$D$16,RANDBETWEEN(1,15),2)</f>
        <v>014</v>
      </c>
      <c r="G71" s="4" t="str">
        <f>conf!$A$2</f>
        <v>Tanjungsari</v>
      </c>
      <c r="H71" t="s">
        <v>103</v>
      </c>
    </row>
    <row r="72" spans="2:8" x14ac:dyDescent="0.35">
      <c r="C72" s="2"/>
      <c r="D72" s="2"/>
      <c r="E72" s="2"/>
      <c r="F72" s="2"/>
      <c r="G72" s="4"/>
    </row>
    <row r="73" spans="2:8" x14ac:dyDescent="0.35">
      <c r="C73" s="2"/>
      <c r="D73" s="2"/>
      <c r="E73" s="2"/>
      <c r="F73" s="2"/>
      <c r="G73" s="4"/>
    </row>
    <row r="74" spans="2:8" x14ac:dyDescent="0.35">
      <c r="C74" s="2"/>
      <c r="D74" s="2"/>
      <c r="E74" s="2"/>
      <c r="F74" s="2"/>
      <c r="G74" s="4"/>
    </row>
    <row r="75" spans="2:8" x14ac:dyDescent="0.35">
      <c r="C75" s="2"/>
      <c r="D75" s="2"/>
      <c r="E75" s="2"/>
      <c r="F75" s="2"/>
      <c r="G75" s="4"/>
    </row>
    <row r="76" spans="2:8" x14ac:dyDescent="0.35">
      <c r="C76" s="2"/>
      <c r="D76" s="2"/>
      <c r="E76" s="2"/>
      <c r="F76" s="2"/>
      <c r="G76" s="4"/>
    </row>
  </sheetData>
  <phoneticPr fontId="1" type="noConversion"/>
  <conditionalFormatting sqref="I2:I31">
    <cfRule type="cellIs" dxfId="0" priority="1" operator="lessThan">
      <formula>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B2" sqref="B2:B9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24</v>
      </c>
      <c r="B2" t="s">
        <v>25</v>
      </c>
      <c r="C2" s="1" t="s">
        <v>19</v>
      </c>
      <c r="D2" s="1" t="s">
        <v>19</v>
      </c>
    </row>
    <row r="3" spans="1:4" x14ac:dyDescent="0.35">
      <c r="B3" t="s">
        <v>26</v>
      </c>
      <c r="C3" s="1" t="s">
        <v>13</v>
      </c>
      <c r="D3" s="1" t="s">
        <v>13</v>
      </c>
    </row>
    <row r="4" spans="1:4" x14ac:dyDescent="0.35">
      <c r="B4" t="s">
        <v>27</v>
      </c>
      <c r="C4" s="1" t="s">
        <v>14</v>
      </c>
      <c r="D4" s="1" t="s">
        <v>14</v>
      </c>
    </row>
    <row r="5" spans="1:4" x14ac:dyDescent="0.35">
      <c r="B5" t="s">
        <v>20</v>
      </c>
      <c r="C5" s="1" t="s">
        <v>12</v>
      </c>
      <c r="D5" s="1" t="s">
        <v>12</v>
      </c>
    </row>
    <row r="6" spans="1:4" x14ac:dyDescent="0.35">
      <c r="B6" t="s">
        <v>28</v>
      </c>
      <c r="C6" s="1" t="s">
        <v>8</v>
      </c>
      <c r="D6" s="1" t="s">
        <v>8</v>
      </c>
    </row>
    <row r="7" spans="1:4" x14ac:dyDescent="0.35">
      <c r="B7" t="s">
        <v>29</v>
      </c>
      <c r="C7" s="1" t="s">
        <v>10</v>
      </c>
      <c r="D7" s="1" t="s">
        <v>10</v>
      </c>
    </row>
    <row r="8" spans="1:4" x14ac:dyDescent="0.35">
      <c r="B8" t="s">
        <v>30</v>
      </c>
      <c r="C8" s="1" t="s">
        <v>11</v>
      </c>
      <c r="D8" s="1" t="s">
        <v>11</v>
      </c>
    </row>
    <row r="9" spans="1:4" x14ac:dyDescent="0.35">
      <c r="B9" t="s">
        <v>31</v>
      </c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21</v>
      </c>
      <c r="D13" s="1" t="s">
        <v>21</v>
      </c>
    </row>
    <row r="14" spans="1:4" x14ac:dyDescent="0.35">
      <c r="C14" s="1" t="s">
        <v>22</v>
      </c>
      <c r="D14" s="1" t="s">
        <v>22</v>
      </c>
    </row>
    <row r="15" spans="1:4" x14ac:dyDescent="0.35">
      <c r="C15" s="1" t="s">
        <v>23</v>
      </c>
      <c r="D15" s="1" t="s">
        <v>23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2023-08-24T06:01:07Z</dcterms:modified>
</cp:coreProperties>
</file>