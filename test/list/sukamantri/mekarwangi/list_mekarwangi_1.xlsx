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sukamantri\mekarwangi\"/>
    </mc:Choice>
  </mc:AlternateContent>
  <xr:revisionPtr revIDLastSave="0" documentId="13_ncr:1_{EDA5D25B-2697-4824-A492-14D91614FC7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<sst xmlns="http://schemas.openxmlformats.org/spreadsheetml/2006/main" count="119" uniqueCount="80">
  <si>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</si>
  <si>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</si>
  <si>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</si>
  <si>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</si>
  <si>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</si>
  <si>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</si>
  <si>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</si>
  <si>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</si>
  <si>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</si>
  <si>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</si>
  <si>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</si>
  <si>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</si>
  <si>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</si>
  <si>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</si>
  <si>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</si>
  <si>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</si>
  <si>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</si>
  <si>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</si>
  <si>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Banyak masyarakat yang merasa khawatir karena harga pangan yang sering berfluktuasi dan sulit diprediksi.</t>
  </si>
  <si>
    <t>menurut $nama Banyak masyarakat yang merasa khawatir karena harga pangan yang sering berfluktuasi dan sulit diprediksi.</t>
  </si>
  <si>
    <t>009</t>
  </si>
  <si>
    <t>001</t>
  </si>
  <si>
    <t>Harga kebutuhan pokok naik terus, sulit untuk mencukupi kebutuhan sehari-hari.</t>
  </si>
  <si>
    <t>Biaya pendidikan mahal, sulit bagi keluarga kurang mampu.</t>
  </si>
  <si>
    <t>Persaingan usaha tidak sehat, usaha kecil sulit bertahan.</t>
  </si>
  <si>
    <t>Banyak produk palsu, merugikan konsumen dan produsen asli.</t>
  </si>
  <si>
    <t>Birokrasi perizinan usaha sulit dan memakan waktu.</t>
  </si>
  <si>
    <t>Ketimpangan sosial dan ekonomi semakin besar, kesenjangan kaya-miskin.</t>
  </si>
  <si>
    <t>Jalan rusak parah, mengganggu kelancaran lalu lintas dan merusak kendaraan.</t>
  </si>
  <si>
    <t>Kemacetan lalu lintas yang parah, menyebabkan waktu tempuh yang lama.</t>
  </si>
  <si>
    <t>Kurangnya perawatan rutin, membuat jalan semakin buruk.</t>
  </si>
  <si>
    <t>Kurangnya penyeberangan pejalan kaki dan fasilitas untuk penyandang disabilitas.</t>
  </si>
  <si>
    <t>Kebutuhan perluasan jalan tidak terpenuhi, menyebabkan kemacetan terus bertambah.</t>
  </si>
  <si>
    <t>Kurangnya penerangan jalan yang memadai, meningkatkan risiko kecelakaan di malam hari.</t>
  </si>
  <si>
    <t>Jalan berlubang yang berbahaya bagi pengendara sepeda motor dan pengguna jalan lainnya.</t>
  </si>
  <si>
    <t>Kurangnya trotoar yang aman, mengancam keselamatan pejalan kaki.</t>
  </si>
  <si>
    <t>Parkir liar yang menghalangi akses jalan dan mengurangi ruang untuk kendaraan.</t>
  </si>
  <si>
    <t>Kurangnya rambu lalu lintas yang jelas dan terawat, membingungkan pengguna jalan.</t>
  </si>
  <si>
    <t>Tidak adanya jalur sepeda yang aman, menghambat pengembangan transportasi berkelanjutan.</t>
  </si>
  <si>
    <t>Kendaraan parkir sembarangan di jalan, menyebabkan kemacetan dan kekacauan.</t>
  </si>
  <si>
    <t>Jalan tidak terlayani saat hujan, menyebabkan banjir dan genangan air.</t>
  </si>
  <si>
    <t>Tidak adanya fasilitas penyeberangan untuk hewan di jalan raya.</t>
  </si>
  <si>
    <t>012</t>
  </si>
  <si>
    <t>013</t>
  </si>
  <si>
    <t>014</t>
  </si>
  <si>
    <t>Pekerjaan sulit dicari, pengangguran meningkat di wilayah ini.</t>
  </si>
  <si>
    <t>Rinduwangi</t>
  </si>
  <si>
    <t>Lebakwangi</t>
  </si>
  <si>
    <t>Cikerenceng</t>
  </si>
  <si>
    <t>Pajagan</t>
  </si>
  <si>
    <t xml:space="preserve">Mekarwangi  </t>
  </si>
  <si>
    <t>Upah minimum rendah, sulit untuk hidup layak bagi warga.</t>
  </si>
  <si>
    <t>2023-09-01</t>
  </si>
  <si>
    <t>2023-09-02</t>
  </si>
  <si>
    <t>2023-09-04</t>
  </si>
  <si>
    <t>2023-09-05</t>
  </si>
  <si>
    <t>EMAY MARYATI</t>
  </si>
  <si>
    <t>MIA NURUL KHORIYAH</t>
  </si>
  <si>
    <t>IPAN NURDIN</t>
  </si>
  <si>
    <t>RASJA SUPRIATNA</t>
  </si>
  <si>
    <t>MUMUN MUNAWAROH</t>
  </si>
  <si>
    <t>MUHAMMAD FARHANULIBAD</t>
  </si>
  <si>
    <t>AZKIA TRI AMALIA</t>
  </si>
  <si>
    <t>AHIDIN</t>
  </si>
  <si>
    <t>ETI</t>
  </si>
  <si>
    <t>ADE RIZAL</t>
  </si>
  <si>
    <t>TATA</t>
  </si>
  <si>
    <t>CARSIH</t>
  </si>
  <si>
    <t>SOLIHIN</t>
  </si>
  <si>
    <t>ENTIN</t>
  </si>
  <si>
    <t>SARJONO</t>
  </si>
  <si>
    <t>YUMYATI</t>
  </si>
  <si>
    <t>YESCAL MAULANA</t>
  </si>
  <si>
    <t>JAKA</t>
  </si>
  <si>
    <t>EROH</t>
  </si>
  <si>
    <t>IBAD BADRIYA</t>
  </si>
  <si>
    <t>YEYEN YUNINGSIH</t>
  </si>
  <si>
    <t>DAHYA</t>
  </si>
  <si>
    <t>WIWIN</t>
  </si>
  <si>
    <t>ENJANG AQIL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</si>
</sst>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41"/>
  <sheetViews>
    <sheetView tabSelected="1" workbookViewId="0">
      <selection activeCell="C2" sqref="C2:C25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52</v>
      </c>
      <c r="C2" s="2" t="s">
        <v>56</v>
      </c>
      <c r="D2" s="2" t="str">
        <f ca="1">INDEX(conf!$B$2:$D$16,RANDBETWEEN(1,4),1)</f>
        <v>Rinduwangi</v>
      </c>
      <c r="E2" s="2" t="str">
        <f ca="1">INDEX(conf!$B$2:$D$16,RANDBETWEEN(1,15),3)</f>
        <v>010</v>
      </c>
      <c r="F2" s="2" t="str">
        <f ca="1">INDEX(conf!$B$2:$D$16,RANDBETWEEN(1,15),2)</f>
        <v>011</v>
      </c>
      <c r="G2" s="4" t="str">
        <f>conf!$A$2</f>
        <v xml:space="preserve">Mekarwangi  </v>
      </c>
      <c r="H2" t="s">
        <v>18</v>
      </c>
    </row>
    <row r="3" spans="1:8" x14ac:dyDescent="0.35">
      <c r="A3">
        <v>2</v>
      </c>
      <c r="B3" s="1" t="s">
        <v>52</v>
      </c>
      <c r="C3" s="2" t="s">
        <v>57</v>
      </c>
      <c r="D3" s="2" t="str">
        <f ca="1">INDEX(conf!$B$2:$D$16,RANDBETWEEN(1,4),1)</f>
        <v>Pajagan</v>
      </c>
      <c r="E3" s="2" t="str">
        <f ca="1">INDEX(conf!$B$2:$D$16,RANDBETWEEN(1,15),3)</f>
        <v>012</v>
      </c>
      <c r="F3" s="2" t="str">
        <f ca="1">INDEX(conf!$B$2:$D$16,RANDBETWEEN(1,15),2)</f>
        <v>003</v>
      </c>
      <c r="G3" s="4" t="str">
        <f>conf!$A$2</f>
        <v xml:space="preserve">Mekarwangi  </v>
      </c>
      <c r="H3" t="s">
        <v>19</v>
      </c>
    </row>
    <row r="4" spans="1:8" x14ac:dyDescent="0.35">
      <c r="A4">
        <v>3</v>
      </c>
      <c r="B4" s="1" t="s">
        <v>52</v>
      </c>
      <c r="C4" s="2" t="s">
        <v>58</v>
      </c>
      <c r="D4" s="2" t="str">
        <f ca="1">INDEX(conf!$B$2:$D$16,RANDBETWEEN(1,4),1)</f>
        <v>Pajagan</v>
      </c>
      <c r="E4" s="2" t="str">
        <f ca="1">INDEX(conf!$B$2:$D$16,RANDBETWEEN(1,15),3)</f>
        <v>004</v>
      </c>
      <c r="F4" s="2" t="str">
        <f ca="1">INDEX(conf!$B$2:$D$16,RANDBETWEEN(1,15),2)</f>
        <v>007</v>
      </c>
      <c r="G4" s="4" t="str">
        <f>conf!$A$2</f>
        <v xml:space="preserve">Mekarwangi  </v>
      </c>
      <c r="H4" s="3" t="s">
        <v>22</v>
      </c>
    </row>
    <row r="5" spans="1:8" x14ac:dyDescent="0.35">
      <c r="A5">
        <v>4</v>
      </c>
      <c r="B5" s="1" t="s">
        <v>52</v>
      </c>
      <c r="C5" s="2" t="s">
        <v>59</v>
      </c>
      <c r="D5" s="2" t="str">
        <f ca="1">INDEX(conf!$B$2:$D$16,RANDBETWEEN(1,4),1)</f>
        <v>Rinduwangi</v>
      </c>
      <c r="E5" s="2" t="str">
        <f ca="1">INDEX(conf!$B$2:$D$16,RANDBETWEEN(1,15),3)</f>
        <v>003</v>
      </c>
      <c r="F5" s="2" t="str">
        <f ca="1">INDEX(conf!$B$2:$D$16,RANDBETWEEN(1,15),2)</f>
        <v>008</v>
      </c>
      <c r="G5" s="4" t="str">
        <f>conf!$A$2</f>
        <v xml:space="preserve">Mekarwangi  </v>
      </c>
      <c r="H5" s="3" t="s">
        <v>45</v>
      </c>
    </row>
    <row r="6" spans="1:8" x14ac:dyDescent="0.35">
      <c r="A6">
        <v>5</v>
      </c>
      <c r="B6" s="1" t="s">
        <v>52</v>
      </c>
      <c r="C6" s="2" t="s">
        <v>60</v>
      </c>
      <c r="D6" s="2" t="str">
        <f ca="1">INDEX(conf!$B$2:$D$16,RANDBETWEEN(1,4),1)</f>
        <v>Cikerenceng</v>
      </c>
      <c r="E6" s="2" t="str">
        <f ca="1">INDEX(conf!$B$2:$D$16,RANDBETWEEN(1,15),3)</f>
        <v>005</v>
      </c>
      <c r="F6" s="2" t="str">
        <f ca="1">INDEX(conf!$B$2:$D$16,RANDBETWEEN(1,15),2)</f>
        <v>009</v>
      </c>
      <c r="G6" s="4" t="str">
        <f>conf!$A$2</f>
        <v xml:space="preserve">Mekarwangi  </v>
      </c>
      <c r="H6" s="3" t="s">
        <v>23</v>
      </c>
    </row>
    <row r="7" spans="1:8" x14ac:dyDescent="0.35">
      <c r="A7">
        <v>6</v>
      </c>
      <c r="B7" s="1" t="s">
        <v>52</v>
      </c>
      <c r="C7" s="2" t="s">
        <v>61</v>
      </c>
      <c r="D7" s="2" t="str">
        <f ca="1">INDEX(conf!$B$2:$D$16,RANDBETWEEN(1,4),1)</f>
        <v>Rinduwangi</v>
      </c>
      <c r="E7" s="2" t="str">
        <f ca="1">INDEX(conf!$B$2:$D$16,RANDBETWEEN(1,15),3)</f>
        <v>003</v>
      </c>
      <c r="F7" s="2" t="str">
        <f ca="1">INDEX(conf!$B$2:$D$16,RANDBETWEEN(1,15),2)</f>
        <v>005</v>
      </c>
      <c r="G7" s="4" t="str">
        <f>conf!$A$2</f>
        <v xml:space="preserve">Mekarwangi  </v>
      </c>
      <c r="H7" s="3" t="s">
        <v>24</v>
      </c>
    </row>
    <row r="8" spans="1:8" x14ac:dyDescent="0.35">
      <c r="A8">
        <v>7</v>
      </c>
      <c r="B8" s="1" t="s">
        <v>53</v>
      </c>
      <c r="C8" s="2" t="s">
        <v>62</v>
      </c>
      <c r="D8" s="2" t="str">
        <f ca="1">INDEX(conf!$B$2:$D$16,RANDBETWEEN(1,4),1)</f>
        <v>Pajagan</v>
      </c>
      <c r="E8" s="2" t="str">
        <f ca="1">INDEX(conf!$B$2:$D$16,RANDBETWEEN(1,15),3)</f>
        <v>013</v>
      </c>
      <c r="F8" s="2" t="str">
        <f ca="1">INDEX(conf!$B$2:$D$16,RANDBETWEEN(1,15),2)</f>
        <v>005</v>
      </c>
      <c r="G8" s="4" t="str">
        <f>conf!$A$2</f>
        <v xml:space="preserve">Mekarwangi  </v>
      </c>
      <c r="H8" s="3" t="s">
        <v>25</v>
      </c>
    </row>
    <row r="9" spans="1:8" x14ac:dyDescent="0.35">
      <c r="A9">
        <v>8</v>
      </c>
      <c r="B9" s="1" t="s">
        <v>53</v>
      </c>
      <c r="C9" s="2" t="s">
        <v>63</v>
      </c>
      <c r="D9" s="2" t="str">
        <f ca="1">INDEX(conf!$B$2:$D$16,RANDBETWEEN(1,4),1)</f>
        <v>Lebakwangi</v>
      </c>
      <c r="E9" s="2" t="str">
        <f ca="1">INDEX(conf!$B$2:$D$16,RANDBETWEEN(1,15),3)</f>
        <v>008</v>
      </c>
      <c r="F9" s="2" t="str">
        <f ca="1">INDEX(conf!$B$2:$D$16,RANDBETWEEN(1,15),2)</f>
        <v>009</v>
      </c>
      <c r="G9" s="4" t="str">
        <f>conf!$A$2</f>
        <v xml:space="preserve">Mekarwangi  </v>
      </c>
      <c r="H9" s="3" t="s">
        <v>51</v>
      </c>
    </row>
    <row r="10" spans="1:8" x14ac:dyDescent="0.35">
      <c r="A10">
        <v>9</v>
      </c>
      <c r="B10" s="1" t="s">
        <v>53</v>
      </c>
      <c r="C10" s="2" t="s">
        <v>64</v>
      </c>
      <c r="D10" s="2" t="str">
        <f ca="1">INDEX(conf!$B$2:$D$16,RANDBETWEEN(1,4),1)</f>
        <v>Pajagan</v>
      </c>
      <c r="E10" s="2" t="str">
        <f ca="1">INDEX(conf!$B$2:$D$16,RANDBETWEEN(1,15),3)</f>
        <v>014</v>
      </c>
      <c r="F10" s="2" t="str">
        <f ca="1">INDEX(conf!$B$2:$D$16,RANDBETWEEN(1,15),2)</f>
        <v>002</v>
      </c>
      <c r="G10" s="4" t="str">
        <f>conf!$A$2</f>
        <v xml:space="preserve">Mekarwangi  </v>
      </c>
      <c r="H10" s="3" t="s">
        <v>26</v>
      </c>
    </row>
    <row r="11" spans="1:8" x14ac:dyDescent="0.35">
      <c r="A11">
        <v>10</v>
      </c>
      <c r="B11" s="1" t="s">
        <v>53</v>
      </c>
      <c r="C11" s="2" t="s">
        <v>65</v>
      </c>
      <c r="D11" s="2" t="str">
        <f ca="1">INDEX(conf!$B$2:$D$16,RANDBETWEEN(1,4),1)</f>
        <v>Pajagan</v>
      </c>
      <c r="E11" s="2" t="str">
        <f ca="1">INDEX(conf!$B$2:$D$16,RANDBETWEEN(1,15),3)</f>
        <v>013</v>
      </c>
      <c r="F11" s="2" t="str">
        <f ca="1">INDEX(conf!$B$2:$D$16,RANDBETWEEN(1,15),2)</f>
        <v>001</v>
      </c>
      <c r="G11" s="4" t="str">
        <f>conf!$A$2</f>
        <v xml:space="preserve">Mekarwangi  </v>
      </c>
      <c r="H11" s="3" t="s">
        <v>27</v>
      </c>
    </row>
    <row r="12" spans="1:8" x14ac:dyDescent="0.35">
      <c r="A12">
        <v>11</v>
      </c>
      <c r="B12" s="1" t="s">
        <v>53</v>
      </c>
      <c r="C12" s="2" t="s">
        <v>66</v>
      </c>
      <c r="D12" s="2" t="str">
        <f ca="1">INDEX(conf!$B$2:$D$16,RANDBETWEEN(1,4),1)</f>
        <v>Cikerenceng</v>
      </c>
      <c r="E12" s="2" t="str">
        <f ca="1">INDEX(conf!$B$2:$D$16,RANDBETWEEN(1,15),3)</f>
        <v>006</v>
      </c>
      <c r="F12" s="2" t="str">
        <f ca="1">INDEX(conf!$B$2:$D$16,RANDBETWEEN(1,15),2)</f>
        <v>006</v>
      </c>
      <c r="G12" s="4" t="str">
        <f>conf!$A$2</f>
        <v xml:space="preserve">Mekarwangi  </v>
      </c>
      <c r="H12" t="s">
        <v>28</v>
      </c>
    </row>
    <row r="13" spans="1:8" x14ac:dyDescent="0.35">
      <c r="A13">
        <v>12</v>
      </c>
      <c r="B13" s="1" t="s">
        <v>53</v>
      </c>
      <c r="C13" s="2" t="s">
        <v>67</v>
      </c>
      <c r="D13" s="2" t="str">
        <f ca="1">INDEX(conf!$B$2:$D$16,RANDBETWEEN(1,4),1)</f>
        <v>Cikerenceng</v>
      </c>
      <c r="E13" s="2" t="str">
        <f ca="1">INDEX(conf!$B$2:$D$16,RANDBETWEEN(1,15),3)</f>
        <v>007</v>
      </c>
      <c r="F13" s="2" t="str">
        <f ca="1">INDEX(conf!$B$2:$D$16,RANDBETWEEN(1,15),2)</f>
        <v>002</v>
      </c>
      <c r="G13" s="4" t="str">
        <f>conf!$A$2</f>
        <v xml:space="preserve">Mekarwangi  </v>
      </c>
      <c r="H13" s="3" t="s">
        <v>29</v>
      </c>
    </row>
    <row r="14" spans="1:8" x14ac:dyDescent="0.35">
      <c r="A14">
        <v>13</v>
      </c>
      <c r="B14" s="1" t="s">
        <v>54</v>
      </c>
      <c r="C14" s="2" t="s">
        <v>68</v>
      </c>
      <c r="D14" s="2" t="str">
        <f ca="1">INDEX(conf!$B$2:$D$16,RANDBETWEEN(1,4),1)</f>
        <v>Lebakwangi</v>
      </c>
      <c r="E14" s="2" t="str">
        <f ca="1">INDEX(conf!$B$2:$D$16,RANDBETWEEN(1,15),3)</f>
        <v>001</v>
      </c>
      <c r="F14" s="2" t="str">
        <f ca="1">INDEX(conf!$B$2:$D$16,RANDBETWEEN(1,15),2)</f>
        <v>014</v>
      </c>
      <c r="G14" s="4" t="str">
        <f>conf!$A$2</f>
        <v xml:space="preserve">Mekarwangi  </v>
      </c>
      <c r="H14" s="3" t="s">
        <v>30</v>
      </c>
    </row>
    <row r="15" spans="1:8" x14ac:dyDescent="0.35">
      <c r="A15">
        <v>14</v>
      </c>
      <c r="B15" s="1" t="s">
        <v>54</v>
      </c>
      <c r="C15" s="2" t="s">
        <v>69</v>
      </c>
      <c r="D15" s="2" t="str">
        <f ca="1">INDEX(conf!$B$2:$D$16,RANDBETWEEN(1,4),1)</f>
        <v>Rinduwangi</v>
      </c>
      <c r="E15" s="2" t="str">
        <f ca="1">INDEX(conf!$B$2:$D$16,RANDBETWEEN(1,15),3)</f>
        <v>003</v>
      </c>
      <c r="F15" s="2" t="str">
        <f ca="1">INDEX(conf!$B$2:$D$16,RANDBETWEEN(1,15),2)</f>
        <v>001</v>
      </c>
      <c r="G15" s="4" t="str">
        <f>conf!$A$2</f>
        <v xml:space="preserve">Mekarwangi  </v>
      </c>
      <c r="H15" s="3" t="s">
        <v>31</v>
      </c>
    </row>
    <row r="16" spans="1:8" x14ac:dyDescent="0.35">
      <c r="A16">
        <v>15</v>
      </c>
      <c r="B16" s="1" t="s">
        <v>54</v>
      </c>
      <c r="C16" s="2" t="s">
        <v>70</v>
      </c>
      <c r="D16" s="2" t="str">
        <f ca="1">INDEX(conf!$B$2:$D$16,RANDBETWEEN(1,4),1)</f>
        <v>Pajagan</v>
      </c>
      <c r="E16" s="2" t="str">
        <f ca="1">INDEX(conf!$B$2:$D$16,RANDBETWEEN(1,15),3)</f>
        <v>010</v>
      </c>
      <c r="F16" s="2" t="str">
        <f ca="1">INDEX(conf!$B$2:$D$16,RANDBETWEEN(1,15),2)</f>
        <v>001</v>
      </c>
      <c r="G16" s="4" t="str">
        <f>conf!$A$2</f>
        <v xml:space="preserve">Mekarwangi  </v>
      </c>
      <c r="H16" s="3" t="s">
        <v>32</v>
      </c>
    </row>
    <row r="17" spans="1:8" x14ac:dyDescent="0.35">
      <c r="A17">
        <v>16</v>
      </c>
      <c r="B17" s="1" t="s">
        <v>54</v>
      </c>
      <c r="C17" s="2" t="s">
        <v>71</v>
      </c>
      <c r="D17" s="2" t="str">
        <f ca="1">INDEX(conf!$B$2:$D$16,RANDBETWEEN(1,4),1)</f>
        <v>Lebakwangi</v>
      </c>
      <c r="E17" s="2" t="str">
        <f ca="1">INDEX(conf!$B$2:$D$16,RANDBETWEEN(1,15),3)</f>
        <v>009</v>
      </c>
      <c r="F17" s="2" t="str">
        <f ca="1">INDEX(conf!$B$2:$D$16,RANDBETWEEN(1,15),2)</f>
        <v>011</v>
      </c>
      <c r="G17" s="4" t="str">
        <f>conf!$A$2</f>
        <v xml:space="preserve">Mekarwangi  </v>
      </c>
      <c r="H17" s="3" t="s">
        <v>33</v>
      </c>
    </row>
    <row r="18" spans="1:8" x14ac:dyDescent="0.35">
      <c r="A18">
        <v>17</v>
      </c>
      <c r="B18" s="1" t="s">
        <v>54</v>
      </c>
      <c r="C18" s="2" t="s">
        <v>72</v>
      </c>
      <c r="D18" s="2" t="str">
        <f ca="1">INDEX(conf!$B$2:$D$16,RANDBETWEEN(1,4),1)</f>
        <v>Pajagan</v>
      </c>
      <c r="E18" s="2" t="str">
        <f ca="1">INDEX(conf!$B$2:$D$16,RANDBETWEEN(1,15),3)</f>
        <v>004</v>
      </c>
      <c r="F18" s="2" t="str">
        <f ca="1">INDEX(conf!$B$2:$D$16,RANDBETWEEN(1,15),2)</f>
        <v>006</v>
      </c>
      <c r="G18" s="4" t="str">
        <f>conf!$A$2</f>
        <v xml:space="preserve">Mekarwangi  </v>
      </c>
      <c r="H18" s="3" t="s">
        <v>34</v>
      </c>
    </row>
    <row r="19" spans="1:8" x14ac:dyDescent="0.35">
      <c r="A19">
        <v>18</v>
      </c>
      <c r="B19" s="1" t="s">
        <v>54</v>
      </c>
      <c r="C19" s="2" t="s">
        <v>73</v>
      </c>
      <c r="D19" s="2" t="str">
        <f ca="1">INDEX(conf!$B$2:$D$16,RANDBETWEEN(1,4),1)</f>
        <v>Lebakwangi</v>
      </c>
      <c r="E19" s="2" t="str">
        <f ca="1">INDEX(conf!$B$2:$D$16,RANDBETWEEN(1,15),3)</f>
        <v>011</v>
      </c>
      <c r="F19" s="2" t="str">
        <f ca="1">INDEX(conf!$B$2:$D$16,RANDBETWEEN(1,15),2)</f>
        <v>004</v>
      </c>
      <c r="G19" s="4" t="str">
        <f>conf!$A$2</f>
        <v xml:space="preserve">Mekarwangi  </v>
      </c>
      <c r="H19" s="3" t="s">
        <v>35</v>
      </c>
    </row>
    <row r="20" spans="1:8" x14ac:dyDescent="0.35">
      <c r="A20">
        <v>19</v>
      </c>
      <c r="B20" s="1" t="s">
        <v>55</v>
      </c>
      <c r="C20" s="2" t="s">
        <v>74</v>
      </c>
      <c r="D20" s="2" t="str">
        <f ca="1">INDEX(conf!$B$2:$D$16,RANDBETWEEN(1,4),1)</f>
        <v>Cikerenceng</v>
      </c>
      <c r="E20" s="2" t="str">
        <f ca="1">INDEX(conf!$B$2:$D$16,RANDBETWEEN(1,15),3)</f>
        <v>001</v>
      </c>
      <c r="F20" s="2" t="str">
        <f ca="1">INDEX(conf!$B$2:$D$16,RANDBETWEEN(1,15),2)</f>
        <v>012</v>
      </c>
      <c r="G20" s="4" t="str">
        <f>conf!$A$2</f>
        <v xml:space="preserve">Mekarwangi  </v>
      </c>
      <c r="H20" s="3" t="s">
        <v>36</v>
      </c>
    </row>
    <row r="21" spans="1:8" x14ac:dyDescent="0.35">
      <c r="A21">
        <v>20</v>
      </c>
      <c r="B21" s="1" t="s">
        <v>55</v>
      </c>
      <c r="C21" s="2" t="s">
        <v>75</v>
      </c>
      <c r="D21" s="2" t="str">
        <f ca="1">INDEX(conf!$B$2:$D$16,RANDBETWEEN(1,4),1)</f>
        <v>Rinduwangi</v>
      </c>
      <c r="E21" s="2" t="str">
        <f ca="1">INDEX(conf!$B$2:$D$16,RANDBETWEEN(1,15),3)</f>
        <v>004</v>
      </c>
      <c r="F21" s="2" t="str">
        <f ca="1">INDEX(conf!$B$2:$D$16,RANDBETWEEN(1,15),2)</f>
        <v>003</v>
      </c>
      <c r="G21" s="4" t="str">
        <f>conf!$A$2</f>
        <v xml:space="preserve">Mekarwangi  </v>
      </c>
      <c r="H21" t="s">
        <v>37</v>
      </c>
    </row>
    <row r="22" spans="1:8" x14ac:dyDescent="0.35">
      <c r="A22">
        <v>21</v>
      </c>
      <c r="B22" s="1" t="s">
        <v>55</v>
      </c>
      <c r="C22" s="2" t="s">
        <v>76</v>
      </c>
      <c r="D22" s="2" t="str">
        <f ca="1">INDEX(conf!$B$2:$D$16,RANDBETWEEN(1,4),1)</f>
        <v>Lebakwangi</v>
      </c>
      <c r="E22" s="2" t="str">
        <f ca="1">INDEX(conf!$B$2:$D$16,RANDBETWEEN(1,15),3)</f>
        <v>010</v>
      </c>
      <c r="F22" s="2" t="str">
        <f ca="1">INDEX(conf!$B$2:$D$16,RANDBETWEEN(1,15),2)</f>
        <v>015</v>
      </c>
      <c r="G22" s="4" t="str">
        <f>conf!$A$2</f>
        <v xml:space="preserve">Mekarwangi  </v>
      </c>
      <c r="H22" s="3" t="s">
        <v>38</v>
      </c>
    </row>
    <row r="23" spans="1:8" x14ac:dyDescent="0.35">
      <c r="A23">
        <v>22</v>
      </c>
      <c r="B23" s="1" t="s">
        <v>55</v>
      </c>
      <c r="C23" s="2" t="s">
        <v>77</v>
      </c>
      <c r="D23" s="2" t="str">
        <f ca="1">INDEX(conf!$B$2:$D$16,RANDBETWEEN(1,4),1)</f>
        <v>Lebakwangi</v>
      </c>
      <c r="E23" s="2" t="str">
        <f ca="1">INDEX(conf!$B$2:$D$16,RANDBETWEEN(1,15),3)</f>
        <v>010</v>
      </c>
      <c r="F23" s="2" t="str">
        <f ca="1">INDEX(conf!$B$2:$D$16,RANDBETWEEN(1,15),2)</f>
        <v>010</v>
      </c>
      <c r="G23" s="4" t="str">
        <f>conf!$A$2</f>
        <v xml:space="preserve">Mekarwangi  </v>
      </c>
      <c r="H23" t="s">
        <v>39</v>
      </c>
    </row>
    <row r="24" spans="1:8" x14ac:dyDescent="0.35">
      <c r="A24">
        <v>23</v>
      </c>
      <c r="B24" s="1" t="s">
        <v>55</v>
      </c>
      <c r="C24" s="2" t="s">
        <v>78</v>
      </c>
      <c r="D24" s="2" t="str">
        <f ca="1">INDEX(conf!$B$2:$D$16,RANDBETWEEN(1,4),1)</f>
        <v>Cikerenceng</v>
      </c>
      <c r="E24" s="2" t="str">
        <f ca="1">INDEX(conf!$B$2:$D$16,RANDBETWEEN(1,15),3)</f>
        <v>001</v>
      </c>
      <c r="F24" s="2" t="str">
        <f ca="1">INDEX(conf!$B$2:$D$16,RANDBETWEEN(1,15),2)</f>
        <v>014</v>
      </c>
      <c r="G24" s="4" t="str">
        <f>conf!$A$2</f>
        <v xml:space="preserve">Mekarwangi  </v>
      </c>
      <c r="H24" t="s">
        <v>40</v>
      </c>
    </row>
    <row r="25" spans="1:8" x14ac:dyDescent="0.35">
      <c r="A25">
        <v>24</v>
      </c>
      <c r="B25" s="1" t="s">
        <v>55</v>
      </c>
      <c r="C25" s="2" t="s">
        <v>79</v>
      </c>
      <c r="D25" s="2" t="str">
        <f ca="1">INDEX(conf!$B$2:$D$16,RANDBETWEEN(1,4),1)</f>
        <v>Rinduwangi</v>
      </c>
      <c r="E25" s="2" t="str">
        <f ca="1">INDEX(conf!$B$2:$D$16,RANDBETWEEN(1,15),3)</f>
        <v>014</v>
      </c>
      <c r="F25" s="2" t="str">
        <f ca="1">INDEX(conf!$B$2:$D$16,RANDBETWEEN(1,15),2)</f>
        <v>003</v>
      </c>
      <c r="G25" s="4" t="str">
        <f>conf!$A$2</f>
        <v xml:space="preserve">Mekarwangi  </v>
      </c>
      <c r="H25" t="s">
        <v>41</v>
      </c>
    </row>
    <row r="41" spans="2:6" x14ac:dyDescent="0.35">
      <c r="B41" s="5"/>
      <c r="D41" s="1"/>
      <c r="F4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D5" sqref="D5"/>
    </sheetView>
  </sheetViews>
  <sheetFormatPr defaultRowHeight="14.5" x14ac:dyDescent="0.35"/>
  <cols>
    <col min="1" max="1" width="24.1796875" customWidth="1"/>
  </cols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50</v>
      </c>
      <c r="B2" t="s">
        <v>46</v>
      </c>
      <c r="C2" s="1" t="s">
        <v>21</v>
      </c>
      <c r="D2" s="1" t="s">
        <v>21</v>
      </c>
    </row>
    <row r="3" spans="1:4" x14ac:dyDescent="0.35">
      <c r="B3" t="s">
        <v>47</v>
      </c>
      <c r="C3" s="1" t="s">
        <v>13</v>
      </c>
      <c r="D3" s="1" t="s">
        <v>13</v>
      </c>
    </row>
    <row r="4" spans="1:4" x14ac:dyDescent="0.35">
      <c r="B4" t="s">
        <v>48</v>
      </c>
      <c r="C4" s="1" t="s">
        <v>14</v>
      </c>
      <c r="D4" s="1" t="s">
        <v>14</v>
      </c>
    </row>
    <row r="5" spans="1:4" x14ac:dyDescent="0.35">
      <c r="B5" t="s">
        <v>49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20</v>
      </c>
      <c r="D10" s="1" t="s">
        <v>20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42</v>
      </c>
      <c r="D13" s="1" t="s">
        <v>42</v>
      </c>
    </row>
    <row r="14" spans="1:4" x14ac:dyDescent="0.35">
      <c r="C14" s="1" t="s">
        <v>43</v>
      </c>
      <c r="D14" s="1" t="s">
        <v>43</v>
      </c>
    </row>
    <row r="15" spans="1:4" x14ac:dyDescent="0.35">
      <c r="C15" s="1" t="s">
        <v>44</v>
      </c>
      <c r="D15" s="1" t="s">
        <v>44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2023-09-04T16:55:48Z</dcterms:modified>
</cp:coreProperties>
</file>