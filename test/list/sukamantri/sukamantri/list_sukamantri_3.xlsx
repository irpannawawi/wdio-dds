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sukamantri\sukamantri\"/>
    </mc:Choice>
  </mc:AlternateContent>
  <xr:revisionPtr revIDLastSave="0" documentId="13_ncr:1_{DAB2D55D-D0E3-411C-ACA4-EDB0ED1BCEF0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<sst xmlns="http://schemas.openxmlformats.org/spreadsheetml/2006/main" count="138" uniqueCount="94">
  <si>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</si>
  <si>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</si>
  <si>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</si>
  <si>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</si>
  <si>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</si>
  <si>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</si>
  <si>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</si>
  <si>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</si>
  <si>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</si>
  <si>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</si>
  <si>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</si>
  <si>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</si>
  <si>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</si>
  <si>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</si>
  <si>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</si>
  <si>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</si>
  <si>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</si>
  <si>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</si>
  <si>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</si>
  <si>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</si>
  <si>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</si>
  <si>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</si>
  <si>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</si>
  <si>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Sukamantri</t>
  </si>
  <si>
    <t>Sukamantri 1</t>
  </si>
  <si>
    <t>Sukamantri 2</t>
  </si>
  <si>
    <t>Sukamantri 3</t>
  </si>
  <si>
    <t>Sukamanah</t>
  </si>
  <si>
    <t>Cigede</t>
  </si>
  <si>
    <t>SOLIHAT</t>
  </si>
  <si>
    <t>EMAN</t>
  </si>
  <si>
    <t>IDAH</t>
  </si>
  <si>
    <t>MAMAN SUPRIATMAN</t>
  </si>
  <si>
    <t>SYARI`AH</t>
  </si>
  <si>
    <t>CARSUDIN</t>
  </si>
  <si>
    <t>EROS ROSIDAH</t>
  </si>
  <si>
    <t>MELA INDRIYANI</t>
  </si>
  <si>
    <t>NURUL AZMI</t>
  </si>
  <si>
    <t>HERA PURNAMASARI</t>
  </si>
  <si>
    <t>ABDUL ROHIM</t>
  </si>
  <si>
    <t>SITI KHODIJAH</t>
  </si>
  <si>
    <t>ACIM</t>
  </si>
  <si>
    <t>KARSIH</t>
  </si>
  <si>
    <t>ABDUL SARIF</t>
  </si>
  <si>
    <t>ROHIM</t>
  </si>
  <si>
    <t>AISAH</t>
  </si>
  <si>
    <t>SITI MASITOH</t>
  </si>
  <si>
    <t>DARMANTO</t>
  </si>
  <si>
    <t>DADAH HOLIDAH</t>
  </si>
  <si>
    <t>AZHAR RADITYA PRANANDA</t>
  </si>
  <si>
    <t>LINDA DWI SAFUTRI</t>
  </si>
  <si>
    <t>SUPENO</t>
  </si>
  <si>
    <t>ERUK</t>
  </si>
  <si>
    <t>ABDUL</t>
  </si>
  <si>
    <t>OOM</t>
  </si>
  <si>
    <t>A JAELANI</t>
  </si>
  <si>
    <t>RAMADANI</t>
  </si>
  <si>
    <t>JEJEN JENI</t>
  </si>
  <si>
    <t>SITI MASAMAH</t>
  </si>
  <si>
    <t>2023-08-24</t>
  </si>
  <si>
    <t>2023-08-25</t>
  </si>
  <si>
    <t>2023-08-26</t>
  </si>
  <si>
    <t>2023-08-28</t>
  </si>
  <si>
    <t>2023-08-29</t>
  </si>
  <si>
    <t>Ketidaksetaraan pendapatan merajalela, menciptakan kesenjangan sosial yang besar.</t>
  </si>
  <si>
    <t>Akses terbatas terhadap layanan kesehatan berkualitas dan terjangkau.</t>
  </si>
  <si>
    <t>Pengangguran tinggi, kesulitan mendapatkan pekerjaan.</t>
  </si>
  <si>
    <t>Pendidikan rendah mutu dan sulit diakses di wilayah pedesaan.</t>
  </si>
  <si>
    <t>Kriminalitas meresahkan, perasaan tidak aman bagi masyarakat.</t>
  </si>
  <si>
    <t>Diskriminasi gender masih terjadi di berbagai bidang.</t>
  </si>
  <si>
    <t>Polusi mengancam lingkungan dan kesehatan masyarakat sekitar.</t>
  </si>
  <si>
    <t>Kesenjangan etnis dan rasial mengakar di beberapa wilayah di masyarakat.</t>
  </si>
  <si>
    <t>Keterbatasan perumahan yang layak dan terjangkau bagi masyarakat.</t>
  </si>
  <si>
    <t>Penanganan bencana lambat dan kurang efektif di beberapa wilayah.</t>
  </si>
  <si>
    <t>Kurangnya jaminan kesejahteraan sosial bagi masyarakat kurang mampu.</t>
  </si>
  <si>
    <t>Kurangnya dukungan bagi kaum rentan dari pemerintah setempat.</t>
  </si>
  <si>
    <t>Isu mental dan kesejahteraan psikologis minim perhatian.</t>
  </si>
  <si>
    <t>Tindak pelecehan seksual masih terjadi di beberapa wilayah.</t>
  </si>
  <si>
    <t>Kemiskinan mendera sebagian besar masyarakat di wilayah.</t>
  </si>
  <si>
    <t>Kekurangan akses terhadap air bersih di beberapa wilayah.</t>
  </si>
  <si>
    <t>Kurangnya kesadaran akan isu lingkungan masyarakat menjadi masalah.</t>
  </si>
  <si>
    <t>Mobilitas sosial yang terbatas bagi masyarakat di pedesaan yang letaknya terpencil.</t>
  </si>
  <si>
    <t>Penyalahgunaan obat-obatan merajalela di beberpa tempat di wilayah desa.</t>
  </si>
  <si>
    <t>Konflik sosial sering muncul dari kalangan tertentu yang berkepentingan.</t>
  </si>
  <si>
    <t>Kualitas makanan dan gizi rendah terjadi kepada masyarakat kurang mampu.</t>
  </si>
  <si>
    <t>Tidak adanya jaringan pengaman sosial yang memadai.</t>
  </si>
  <si>
    <t>Kurangnya aksesibilitas bagi penyandang disabilitas.</t>
  </si>
  <si>
    <t>Tersisihnya lansia dari perhatian sosial sangat menghawatirkan.</t>
  </si>
  <si>
    <t>Kesenjangan generasi dan masalah generasi muda di desa.</t>
  </si>
  <si>
    <t>Tingginya tingkat perceraian dan masalah keluarga.</t>
  </si>
  <si>
    <t>Kesenjangan akses teknologi dan digital di wilayah terpencil.</t>
  </si>
  <si>
    <t>Tindak kekerasan dalam rumah tangga terus terjadi.</t>
  </si>
  <si>
    <t>Kurangnya tempat rekreasi dan budaya di desa kami syangat.</t>
  </si>
  <si>
    <t>Isu migrasi dan pengungsi menimbulkan tantangan sosial.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</si>
</sst>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  <xf numFmtId="14" fontId="4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42"/>
  <sheetViews>
    <sheetView tabSelected="1" workbookViewId="0">
      <selection activeCell="H2" sqref="H2:H31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16</v>
      </c>
      <c r="B2" s="1" t="s">
        <v>59</v>
      </c>
      <c r="C2" s="2" t="s">
        <v>30</v>
      </c>
      <c r="D2" s="2" t="str">
        <f ca="1">INDEX(conf!$B$2:$D$16,RANDBETWEEN(1,5),1)</f>
        <v>Sukamantri 2</v>
      </c>
      <c r="E2" s="2" t="str">
        <f ca="1">INDEX(conf!$B$2:$D$16,RANDBETWEEN(1,15),3)</f>
        <v>014</v>
      </c>
      <c r="F2" s="2" t="str">
        <f ca="1">INDEX(conf!$B$2:$D$16,RANDBETWEEN(1,15),2)</f>
        <v>011</v>
      </c>
      <c r="G2" s="4" t="str">
        <f>conf!$A$2</f>
        <v>Sukamantri</v>
      </c>
      <c r="H2" t="s">
        <v>64</v>
      </c>
    </row>
    <row r="3" spans="1:8" x14ac:dyDescent="0.35">
      <c r="A3">
        <v>17</v>
      </c>
      <c r="B3" s="1" t="s">
        <v>59</v>
      </c>
      <c r="C3" s="2" t="s">
        <v>31</v>
      </c>
      <c r="D3" s="2" t="str">
        <f ca="1">INDEX(conf!$B$2:$D$16,RANDBETWEEN(1,5),1)</f>
        <v>Cigede</v>
      </c>
      <c r="E3" s="2" t="str">
        <f ca="1">INDEX(conf!$B$2:$D$16,RANDBETWEEN(1,15),3)</f>
        <v>002</v>
      </c>
      <c r="F3" s="2" t="str">
        <f ca="1">INDEX(conf!$B$2:$D$16,RANDBETWEEN(1,15),2)</f>
        <v>014</v>
      </c>
      <c r="G3" s="4" t="str">
        <f>conf!$A$2</f>
        <v>Sukamantri</v>
      </c>
      <c r="H3" t="s">
        <v>65</v>
      </c>
    </row>
    <row r="4" spans="1:8" x14ac:dyDescent="0.35">
      <c r="A4">
        <v>18</v>
      </c>
      <c r="B4" s="1" t="s">
        <v>59</v>
      </c>
      <c r="C4" s="2" t="s">
        <v>32</v>
      </c>
      <c r="D4" s="2" t="str">
        <f ca="1">INDEX(conf!$B$2:$D$16,RANDBETWEEN(1,5),1)</f>
        <v>Cigede</v>
      </c>
      <c r="E4" s="2" t="str">
        <f ca="1">INDEX(conf!$B$2:$D$16,RANDBETWEEN(1,15),3)</f>
        <v>004</v>
      </c>
      <c r="F4" s="2" t="str">
        <f ca="1">INDEX(conf!$B$2:$D$16,RANDBETWEEN(1,15),2)</f>
        <v>005</v>
      </c>
      <c r="G4" s="4" t="str">
        <f>conf!$A$2</f>
        <v>Sukamantri</v>
      </c>
      <c r="H4" t="s">
        <v>66</v>
      </c>
    </row>
    <row r="5" spans="1:8" x14ac:dyDescent="0.35">
      <c r="A5">
        <v>19</v>
      </c>
      <c r="B5" s="1" t="s">
        <v>59</v>
      </c>
      <c r="C5" s="2" t="s">
        <v>33</v>
      </c>
      <c r="D5" s="2" t="str">
        <f ca="1">INDEX(conf!$B$2:$D$16,RANDBETWEEN(1,5),1)</f>
        <v>Sukamantri 3</v>
      </c>
      <c r="E5" s="2" t="str">
        <f ca="1">INDEX(conf!$B$2:$D$16,RANDBETWEEN(1,15),3)</f>
        <v>006</v>
      </c>
      <c r="F5" s="2" t="str">
        <f ca="1">INDEX(conf!$B$2:$D$16,RANDBETWEEN(1,15),2)</f>
        <v>012</v>
      </c>
      <c r="G5" s="4" t="str">
        <f>conf!$A$2</f>
        <v>Sukamantri</v>
      </c>
      <c r="H5" t="s">
        <v>67</v>
      </c>
    </row>
    <row r="6" spans="1:8" x14ac:dyDescent="0.35">
      <c r="A6">
        <v>20</v>
      </c>
      <c r="B6" s="1" t="s">
        <v>59</v>
      </c>
      <c r="C6" s="2" t="s">
        <v>34</v>
      </c>
      <c r="D6" s="2" t="str">
        <f ca="1">INDEX(conf!$B$2:$D$16,RANDBETWEEN(1,5),1)</f>
        <v>Sukamantri 3</v>
      </c>
      <c r="E6" s="2" t="str">
        <f ca="1">INDEX(conf!$B$2:$D$16,RANDBETWEEN(1,15),3)</f>
        <v>011</v>
      </c>
      <c r="F6" s="2" t="str">
        <f ca="1">INDEX(conf!$B$2:$D$16,RANDBETWEEN(1,15),2)</f>
        <v>012</v>
      </c>
      <c r="G6" s="4" t="str">
        <f>conf!$A$2</f>
        <v>Sukamantri</v>
      </c>
      <c r="H6" t="s">
        <v>68</v>
      </c>
    </row>
    <row r="7" spans="1:8" x14ac:dyDescent="0.35">
      <c r="A7">
        <v>21</v>
      </c>
      <c r="B7" s="1" t="s">
        <v>59</v>
      </c>
      <c r="C7" s="2" t="s">
        <v>35</v>
      </c>
      <c r="D7" s="2" t="str">
        <f ca="1">INDEX(conf!$B$2:$D$16,RANDBETWEEN(1,5),1)</f>
        <v>Sukamantri 3</v>
      </c>
      <c r="E7" s="2" t="str">
        <f ca="1">INDEX(conf!$B$2:$D$16,RANDBETWEEN(1,15),3)</f>
        <v>010</v>
      </c>
      <c r="F7" s="2" t="str">
        <f ca="1">INDEX(conf!$B$2:$D$16,RANDBETWEEN(1,15),2)</f>
        <v>008</v>
      </c>
      <c r="G7" s="4" t="str">
        <f>conf!$A$2</f>
        <v>Sukamantri</v>
      </c>
      <c r="H7" t="s">
        <v>69</v>
      </c>
    </row>
    <row r="8" spans="1:8" x14ac:dyDescent="0.35">
      <c r="A8">
        <v>22</v>
      </c>
      <c r="B8" s="1" t="s">
        <v>59</v>
      </c>
      <c r="C8" s="2" t="s">
        <v>36</v>
      </c>
      <c r="D8" s="2" t="str">
        <f ca="1">INDEX(conf!$B$2:$D$16,RANDBETWEEN(1,5),1)</f>
        <v>Sukamantri 1</v>
      </c>
      <c r="E8" s="2" t="str">
        <f ca="1">INDEX(conf!$B$2:$D$16,RANDBETWEEN(1,15),3)</f>
        <v>010</v>
      </c>
      <c r="F8" s="2" t="str">
        <f ca="1">INDEX(conf!$B$2:$D$16,RANDBETWEEN(1,15),2)</f>
        <v>011</v>
      </c>
      <c r="G8" s="4" t="str">
        <f>conf!$A$2</f>
        <v>Sukamantri</v>
      </c>
      <c r="H8" t="s">
        <v>70</v>
      </c>
    </row>
    <row r="9" spans="1:8" x14ac:dyDescent="0.35">
      <c r="A9">
        <v>23</v>
      </c>
      <c r="B9" s="1" t="s">
        <v>60</v>
      </c>
      <c r="C9" s="2" t="s">
        <v>37</v>
      </c>
      <c r="D9" s="2" t="str">
        <f ca="1">INDEX(conf!$B$2:$D$16,RANDBETWEEN(1,5),1)</f>
        <v>Sukamantri 2</v>
      </c>
      <c r="E9" s="2" t="str">
        <f ca="1">INDEX(conf!$B$2:$D$16,RANDBETWEEN(1,15),3)</f>
        <v>014</v>
      </c>
      <c r="F9" s="2" t="str">
        <f ca="1">INDEX(conf!$B$2:$D$16,RANDBETWEEN(1,15),2)</f>
        <v>003</v>
      </c>
      <c r="G9" s="4" t="str">
        <f>conf!$A$2</f>
        <v>Sukamantri</v>
      </c>
      <c r="H9" t="s">
        <v>71</v>
      </c>
    </row>
    <row r="10" spans="1:8" x14ac:dyDescent="0.35">
      <c r="A10">
        <v>24</v>
      </c>
      <c r="B10" s="1" t="s">
        <v>60</v>
      </c>
      <c r="C10" s="2" t="s">
        <v>38</v>
      </c>
      <c r="D10" s="2" t="str">
        <f ca="1">INDEX(conf!$B$2:$D$16,RANDBETWEEN(1,5),1)</f>
        <v>Sukamanah</v>
      </c>
      <c r="E10" s="2" t="str">
        <f ca="1">INDEX(conf!$B$2:$D$16,RANDBETWEEN(1,15),3)</f>
        <v>008</v>
      </c>
      <c r="F10" s="2" t="str">
        <f ca="1">INDEX(conf!$B$2:$D$16,RANDBETWEEN(1,15),2)</f>
        <v>010</v>
      </c>
      <c r="G10" s="4" t="str">
        <f>conf!$A$2</f>
        <v>Sukamantri</v>
      </c>
      <c r="H10" t="s">
        <v>72</v>
      </c>
    </row>
    <row r="11" spans="1:8" x14ac:dyDescent="0.35">
      <c r="A11">
        <v>25</v>
      </c>
      <c r="B11" s="1" t="s">
        <v>60</v>
      </c>
      <c r="C11" s="2" t="s">
        <v>39</v>
      </c>
      <c r="D11" s="2" t="str">
        <f ca="1">INDEX(conf!$B$2:$D$16,RANDBETWEEN(1,5),1)</f>
        <v>Cigede</v>
      </c>
      <c r="E11" s="2" t="str">
        <f ca="1">INDEX(conf!$B$2:$D$16,RANDBETWEEN(1,15),3)</f>
        <v>015</v>
      </c>
      <c r="F11" s="2" t="str">
        <f ca="1">INDEX(conf!$B$2:$D$16,RANDBETWEEN(1,15),2)</f>
        <v>014</v>
      </c>
      <c r="G11" s="4" t="str">
        <f>conf!$A$2</f>
        <v>Sukamantri</v>
      </c>
      <c r="H11" t="s">
        <v>73</v>
      </c>
    </row>
    <row r="12" spans="1:8" x14ac:dyDescent="0.35">
      <c r="A12">
        <v>26</v>
      </c>
      <c r="B12" s="1" t="s">
        <v>60</v>
      </c>
      <c r="C12" s="2" t="s">
        <v>40</v>
      </c>
      <c r="D12" s="2" t="str">
        <f ca="1">INDEX(conf!$B$2:$D$16,RANDBETWEEN(1,5),1)</f>
        <v>Sukamantri 2</v>
      </c>
      <c r="E12" s="2" t="str">
        <f ca="1">INDEX(conf!$B$2:$D$16,RANDBETWEEN(1,15),3)</f>
        <v>011</v>
      </c>
      <c r="F12" s="2" t="str">
        <f ca="1">INDEX(conf!$B$2:$D$16,RANDBETWEEN(1,15),2)</f>
        <v>004</v>
      </c>
      <c r="G12" s="4" t="str">
        <f>conf!$A$2</f>
        <v>Sukamantri</v>
      </c>
      <c r="H12" t="s">
        <v>74</v>
      </c>
    </row>
    <row r="13" spans="1:8" x14ac:dyDescent="0.35">
      <c r="A13">
        <v>27</v>
      </c>
      <c r="B13" s="1" t="s">
        <v>60</v>
      </c>
      <c r="C13" s="2" t="s">
        <v>41</v>
      </c>
      <c r="D13" s="2" t="str">
        <f ca="1">INDEX(conf!$B$2:$D$16,RANDBETWEEN(1,5),1)</f>
        <v>Sukamanah</v>
      </c>
      <c r="E13" s="2" t="str">
        <f ca="1">INDEX(conf!$B$2:$D$16,RANDBETWEEN(1,15),3)</f>
        <v>013</v>
      </c>
      <c r="F13" s="2" t="str">
        <f ca="1">INDEX(conf!$B$2:$D$16,RANDBETWEEN(1,15),2)</f>
        <v>005</v>
      </c>
      <c r="G13" s="4" t="str">
        <f>conf!$A$2</f>
        <v>Sukamantri</v>
      </c>
      <c r="H13" t="s">
        <v>75</v>
      </c>
    </row>
    <row r="14" spans="1:8" x14ac:dyDescent="0.35">
      <c r="A14">
        <v>28</v>
      </c>
      <c r="B14" s="1" t="s">
        <v>60</v>
      </c>
      <c r="C14" s="2" t="s">
        <v>42</v>
      </c>
      <c r="D14" s="2" t="str">
        <f ca="1">INDEX(conf!$B$2:$D$16,RANDBETWEEN(1,5),1)</f>
        <v>Sukamantri 2</v>
      </c>
      <c r="E14" s="2" t="str">
        <f ca="1">INDEX(conf!$B$2:$D$16,RANDBETWEEN(1,15),3)</f>
        <v>007</v>
      </c>
      <c r="F14" s="2" t="str">
        <f ca="1">INDEX(conf!$B$2:$D$16,RANDBETWEEN(1,15),2)</f>
        <v>010</v>
      </c>
      <c r="G14" s="4" t="str">
        <f>conf!$A$2</f>
        <v>Sukamantri</v>
      </c>
      <c r="H14" t="s">
        <v>76</v>
      </c>
    </row>
    <row r="15" spans="1:8" x14ac:dyDescent="0.35">
      <c r="A15">
        <v>29</v>
      </c>
      <c r="B15" s="1" t="s">
        <v>60</v>
      </c>
      <c r="C15" s="2" t="s">
        <v>43</v>
      </c>
      <c r="D15" s="2" t="str">
        <f ca="1">INDEX(conf!$B$2:$D$16,RANDBETWEEN(1,5),1)</f>
        <v>Cigede</v>
      </c>
      <c r="E15" s="2" t="str">
        <f ca="1">INDEX(conf!$B$2:$D$16,RANDBETWEEN(1,15),3)</f>
        <v>013</v>
      </c>
      <c r="F15" s="2" t="str">
        <f ca="1">INDEX(conf!$B$2:$D$16,RANDBETWEEN(1,15),2)</f>
        <v>015</v>
      </c>
      <c r="G15" s="4" t="str">
        <f>conf!$A$2</f>
        <v>Sukamantri</v>
      </c>
      <c r="H15" t="s">
        <v>77</v>
      </c>
    </row>
    <row r="16" spans="1:8" x14ac:dyDescent="0.35">
      <c r="A16">
        <v>30</v>
      </c>
      <c r="B16" s="1" t="s">
        <v>61</v>
      </c>
      <c r="C16" s="2" t="s">
        <v>44</v>
      </c>
      <c r="D16" s="2" t="str">
        <f ca="1">INDEX(conf!$B$2:$D$16,RANDBETWEEN(1,5),1)</f>
        <v>Sukamanah</v>
      </c>
      <c r="E16" s="2" t="str">
        <f ca="1">INDEX(conf!$B$2:$D$16,RANDBETWEEN(1,15),3)</f>
        <v>006</v>
      </c>
      <c r="F16" s="2" t="str">
        <f ca="1">INDEX(conf!$B$2:$D$16,RANDBETWEEN(1,15),2)</f>
        <v>009</v>
      </c>
      <c r="G16" s="4" t="str">
        <f>conf!$A$2</f>
        <v>Sukamantri</v>
      </c>
      <c r="H16" t="s">
        <v>78</v>
      </c>
    </row>
    <row r="17" spans="2:8" x14ac:dyDescent="0.35">
      <c r="B17" s="1" t="s">
        <v>61</v>
      </c>
      <c r="C17" s="2" t="s">
        <v>45</v>
      </c>
      <c r="D17" s="2" t="str">
        <f ca="1">INDEX(conf!$B$2:$D$16,RANDBETWEEN(1,5),1)</f>
        <v>Cigede</v>
      </c>
      <c r="E17" s="2" t="str">
        <f ca="1">INDEX(conf!$B$2:$D$16,RANDBETWEEN(1,15),3)</f>
        <v>004</v>
      </c>
      <c r="F17" s="2" t="str">
        <f ca="1">INDEX(conf!$B$2:$D$16,RANDBETWEEN(1,15),2)</f>
        <v>013</v>
      </c>
      <c r="G17" s="4" t="str">
        <f>conf!$A$2</f>
        <v>Sukamantri</v>
      </c>
      <c r="H17" t="s">
        <v>79</v>
      </c>
    </row>
    <row r="18" spans="2:8" x14ac:dyDescent="0.35">
      <c r="B18" s="1" t="s">
        <v>61</v>
      </c>
      <c r="C18" s="2" t="s">
        <v>46</v>
      </c>
      <c r="D18" s="2" t="str">
        <f ca="1">INDEX(conf!$B$2:$D$16,RANDBETWEEN(1,5),1)</f>
        <v>Sukamantri 3</v>
      </c>
      <c r="E18" s="2" t="str">
        <f ca="1">INDEX(conf!$B$2:$D$16,RANDBETWEEN(1,15),3)</f>
        <v>006</v>
      </c>
      <c r="F18" s="2" t="str">
        <f ca="1">INDEX(conf!$B$2:$D$16,RANDBETWEEN(1,15),2)</f>
        <v>012</v>
      </c>
      <c r="G18" s="4" t="str">
        <f>conf!$A$2</f>
        <v>Sukamantri</v>
      </c>
      <c r="H18" t="s">
        <v>80</v>
      </c>
    </row>
    <row r="19" spans="2:8" x14ac:dyDescent="0.35">
      <c r="B19" s="1" t="s">
        <v>61</v>
      </c>
      <c r="C19" s="2" t="s">
        <v>47</v>
      </c>
      <c r="D19" s="2" t="str">
        <f ca="1">INDEX(conf!$B$2:$D$16,RANDBETWEEN(1,5),1)</f>
        <v>Sukamantri 3</v>
      </c>
      <c r="E19" s="2" t="str">
        <f ca="1">INDEX(conf!$B$2:$D$16,RANDBETWEEN(1,15),3)</f>
        <v>015</v>
      </c>
      <c r="F19" s="2" t="str">
        <f ca="1">INDEX(conf!$B$2:$D$16,RANDBETWEEN(1,15),2)</f>
        <v>005</v>
      </c>
      <c r="G19" s="4" t="str">
        <f>conf!$A$2</f>
        <v>Sukamantri</v>
      </c>
      <c r="H19" t="s">
        <v>81</v>
      </c>
    </row>
    <row r="20" spans="2:8" x14ac:dyDescent="0.35">
      <c r="B20" s="1" t="s">
        <v>61</v>
      </c>
      <c r="C20" s="2" t="s">
        <v>48</v>
      </c>
      <c r="D20" s="2" t="str">
        <f ca="1">INDEX(conf!$B$2:$D$16,RANDBETWEEN(1,5),1)</f>
        <v>Sukamantri 3</v>
      </c>
      <c r="E20" s="2" t="str">
        <f ca="1">INDEX(conf!$B$2:$D$16,RANDBETWEEN(1,15),3)</f>
        <v>006</v>
      </c>
      <c r="F20" s="2" t="str">
        <f ca="1">INDEX(conf!$B$2:$D$16,RANDBETWEEN(1,15),2)</f>
        <v>012</v>
      </c>
      <c r="G20" s="4" t="str">
        <f>conf!$A$2</f>
        <v>Sukamantri</v>
      </c>
      <c r="H20" t="s">
        <v>82</v>
      </c>
    </row>
    <row r="21" spans="2:8" x14ac:dyDescent="0.35">
      <c r="B21" s="1" t="s">
        <v>61</v>
      </c>
      <c r="C21" s="2" t="s">
        <v>49</v>
      </c>
      <c r="D21" s="2" t="str">
        <f ca="1">INDEX(conf!$B$2:$D$16,RANDBETWEEN(1,5),1)</f>
        <v>Cigede</v>
      </c>
      <c r="E21" s="2" t="str">
        <f ca="1">INDEX(conf!$B$2:$D$16,RANDBETWEEN(1,15),3)</f>
        <v>009</v>
      </c>
      <c r="F21" s="2" t="str">
        <f ca="1">INDEX(conf!$B$2:$D$16,RANDBETWEEN(1,15),2)</f>
        <v>013</v>
      </c>
      <c r="G21" s="4" t="str">
        <f>conf!$A$2</f>
        <v>Sukamantri</v>
      </c>
      <c r="H21" t="s">
        <v>83</v>
      </c>
    </row>
    <row r="22" spans="2:8" x14ac:dyDescent="0.35">
      <c r="B22" s="1" t="s">
        <v>62</v>
      </c>
      <c r="C22" s="2" t="s">
        <v>50</v>
      </c>
      <c r="D22" s="2" t="str">
        <f ca="1">INDEX(conf!$B$2:$D$16,RANDBETWEEN(1,5),1)</f>
        <v>Sukamantri 3</v>
      </c>
      <c r="E22" s="2" t="str">
        <f ca="1">INDEX(conf!$B$2:$D$16,RANDBETWEEN(1,15),3)</f>
        <v>008</v>
      </c>
      <c r="F22" s="2" t="str">
        <f ca="1">INDEX(conf!$B$2:$D$16,RANDBETWEEN(1,15),2)</f>
        <v>006</v>
      </c>
      <c r="G22" s="4" t="str">
        <f>conf!$A$2</f>
        <v>Sukamantri</v>
      </c>
      <c r="H22" t="s">
        <v>84</v>
      </c>
    </row>
    <row r="23" spans="2:8" x14ac:dyDescent="0.35">
      <c r="B23" s="1" t="s">
        <v>62</v>
      </c>
      <c r="C23" s="2" t="s">
        <v>51</v>
      </c>
      <c r="D23" s="2" t="str">
        <f ca="1">INDEX(conf!$B$2:$D$16,RANDBETWEEN(1,5),1)</f>
        <v>Cigede</v>
      </c>
      <c r="E23" s="2" t="str">
        <f ca="1">INDEX(conf!$B$2:$D$16,RANDBETWEEN(1,15),3)</f>
        <v>008</v>
      </c>
      <c r="F23" s="2" t="str">
        <f ca="1">INDEX(conf!$B$2:$D$16,RANDBETWEEN(1,15),2)</f>
        <v>014</v>
      </c>
      <c r="G23" s="4" t="str">
        <f>conf!$A$2</f>
        <v>Sukamantri</v>
      </c>
      <c r="H23" t="s">
        <v>85</v>
      </c>
    </row>
    <row r="24" spans="2:8" x14ac:dyDescent="0.35">
      <c r="B24" s="1" t="s">
        <v>62</v>
      </c>
      <c r="C24" s="2" t="s">
        <v>52</v>
      </c>
      <c r="D24" s="2" t="str">
        <f ca="1">INDEX(conf!$B$2:$D$16,RANDBETWEEN(1,5),1)</f>
        <v>Sukamantri 1</v>
      </c>
      <c r="E24" s="2" t="str">
        <f ca="1">INDEX(conf!$B$2:$D$16,RANDBETWEEN(1,15),3)</f>
        <v>013</v>
      </c>
      <c r="F24" s="2" t="str">
        <f ca="1">INDEX(conf!$B$2:$D$16,RANDBETWEEN(1,15),2)</f>
        <v>006</v>
      </c>
      <c r="G24" s="4" t="str">
        <f>conf!$A$2</f>
        <v>Sukamantri</v>
      </c>
      <c r="H24" t="s">
        <v>86</v>
      </c>
    </row>
    <row r="25" spans="2:8" x14ac:dyDescent="0.35">
      <c r="B25" s="1" t="s">
        <v>62</v>
      </c>
      <c r="C25" s="2" t="s">
        <v>53</v>
      </c>
      <c r="D25" s="2" t="str">
        <f ca="1">INDEX(conf!$B$2:$D$16,RANDBETWEEN(1,5),1)</f>
        <v>Cigede</v>
      </c>
      <c r="E25" s="2" t="str">
        <f ca="1">INDEX(conf!$B$2:$D$16,RANDBETWEEN(1,15),3)</f>
        <v>001</v>
      </c>
      <c r="F25" s="2" t="str">
        <f ca="1">INDEX(conf!$B$2:$D$16,RANDBETWEEN(1,15),2)</f>
        <v>007</v>
      </c>
      <c r="G25" s="4" t="str">
        <f>conf!$A$2</f>
        <v>Sukamantri</v>
      </c>
      <c r="H25" t="s">
        <v>87</v>
      </c>
    </row>
    <row r="26" spans="2:8" x14ac:dyDescent="0.35">
      <c r="B26" s="1" t="s">
        <v>62</v>
      </c>
      <c r="C26" s="2" t="s">
        <v>54</v>
      </c>
      <c r="D26" s="2" t="str">
        <f ca="1">INDEX(conf!$B$2:$D$16,RANDBETWEEN(1,5),1)</f>
        <v>Cigede</v>
      </c>
      <c r="E26" s="2" t="str">
        <f ca="1">INDEX(conf!$B$2:$D$16,RANDBETWEEN(1,15),3)</f>
        <v>013</v>
      </c>
      <c r="F26" s="2" t="str">
        <f ca="1">INDEX(conf!$B$2:$D$16,RANDBETWEEN(1,15),2)</f>
        <v>010</v>
      </c>
      <c r="G26" s="4" t="str">
        <f>conf!$A$2</f>
        <v>Sukamantri</v>
      </c>
      <c r="H26" t="s">
        <v>88</v>
      </c>
    </row>
    <row r="27" spans="2:8" x14ac:dyDescent="0.35">
      <c r="B27" s="1" t="s">
        <v>62</v>
      </c>
      <c r="C27" s="2" t="s">
        <v>55</v>
      </c>
      <c r="D27" s="2" t="str">
        <f ca="1">INDEX(conf!$B$2:$D$16,RANDBETWEEN(1,5),1)</f>
        <v>Sukamantri 1</v>
      </c>
      <c r="E27" s="2" t="str">
        <f ca="1">INDEX(conf!$B$2:$D$16,RANDBETWEEN(1,15),3)</f>
        <v>006</v>
      </c>
      <c r="F27" s="2" t="str">
        <f ca="1">INDEX(conf!$B$2:$D$16,RANDBETWEEN(1,15),2)</f>
        <v>005</v>
      </c>
      <c r="G27" s="4" t="str">
        <f>conf!$A$2</f>
        <v>Sukamantri</v>
      </c>
      <c r="H27" t="s">
        <v>89</v>
      </c>
    </row>
    <row r="28" spans="2:8" x14ac:dyDescent="0.35">
      <c r="B28" s="1" t="s">
        <v>62</v>
      </c>
      <c r="C28" s="2" t="s">
        <v>29</v>
      </c>
      <c r="D28" s="2" t="str">
        <f ca="1">INDEX(conf!$B$2:$D$16,RANDBETWEEN(1,5),1)</f>
        <v>Sukamantri 2</v>
      </c>
      <c r="E28" s="2" t="str">
        <f ca="1">INDEX(conf!$B$2:$D$16,RANDBETWEEN(1,15),3)</f>
        <v>007</v>
      </c>
      <c r="F28" s="2" t="str">
        <f ca="1">INDEX(conf!$B$2:$D$16,RANDBETWEEN(1,15),2)</f>
        <v>003</v>
      </c>
      <c r="G28" s="4" t="str">
        <f>conf!$A$2</f>
        <v>Sukamantri</v>
      </c>
      <c r="H28" t="s">
        <v>90</v>
      </c>
    </row>
    <row r="29" spans="2:8" x14ac:dyDescent="0.35">
      <c r="B29" s="1" t="s">
        <v>63</v>
      </c>
      <c r="C29" s="2" t="s">
        <v>56</v>
      </c>
      <c r="D29" s="2" t="str">
        <f ca="1">INDEX(conf!$B$2:$D$16,RANDBETWEEN(1,5),1)</f>
        <v>Sukamantri 2</v>
      </c>
      <c r="E29" s="2" t="str">
        <f ca="1">INDEX(conf!$B$2:$D$16,RANDBETWEEN(1,15),3)</f>
        <v>006</v>
      </c>
      <c r="F29" s="2" t="str">
        <f ca="1">INDEX(conf!$B$2:$D$16,RANDBETWEEN(1,15),2)</f>
        <v>013</v>
      </c>
      <c r="G29" s="4" t="str">
        <f>conf!$A$2</f>
        <v>Sukamantri</v>
      </c>
      <c r="H29" t="s">
        <v>91</v>
      </c>
    </row>
    <row r="30" spans="2:8" x14ac:dyDescent="0.35">
      <c r="B30" s="1" t="s">
        <v>63</v>
      </c>
      <c r="C30" s="2" t="s">
        <v>57</v>
      </c>
      <c r="D30" s="2" t="str">
        <f ca="1">INDEX(conf!$B$2:$D$16,RANDBETWEEN(1,5),1)</f>
        <v>Cigede</v>
      </c>
      <c r="E30" s="2" t="str">
        <f ca="1">INDEX(conf!$B$2:$D$16,RANDBETWEEN(1,15),3)</f>
        <v>004</v>
      </c>
      <c r="F30" s="2" t="str">
        <f ca="1">INDEX(conf!$B$2:$D$16,RANDBETWEEN(1,15),2)</f>
        <v>004</v>
      </c>
      <c r="G30" s="4" t="str">
        <f>conf!$A$2</f>
        <v>Sukamantri</v>
      </c>
      <c r="H30" t="s">
        <v>92</v>
      </c>
    </row>
    <row r="31" spans="2:8" x14ac:dyDescent="0.35">
      <c r="B31" s="1" t="s">
        <v>63</v>
      </c>
      <c r="C31" s="2" t="s">
        <v>58</v>
      </c>
      <c r="D31" s="2" t="str">
        <f ca="1">INDEX(conf!$B$2:$D$16,RANDBETWEEN(1,5),1)</f>
        <v>Cigede</v>
      </c>
      <c r="E31" s="2" t="str">
        <f ca="1">INDEX(conf!$B$2:$D$16,RANDBETWEEN(1,15),3)</f>
        <v>004</v>
      </c>
      <c r="F31" s="2" t="str">
        <f ca="1">INDEX(conf!$B$2:$D$16,RANDBETWEEN(1,15),2)</f>
        <v>007</v>
      </c>
      <c r="G31" s="4" t="str">
        <f>conf!$A$2</f>
        <v>Sukamantri</v>
      </c>
      <c r="H31" t="s">
        <v>93</v>
      </c>
    </row>
    <row r="32" spans="2:8" x14ac:dyDescent="0.35">
      <c r="C32" s="2"/>
      <c r="D32" s="2"/>
      <c r="E32" s="2"/>
      <c r="F32" s="2"/>
      <c r="G32" s="4"/>
    </row>
    <row r="33" spans="2:8" x14ac:dyDescent="0.35">
      <c r="C33" s="2"/>
      <c r="D33" s="2"/>
      <c r="E33" s="2"/>
      <c r="F33" s="2"/>
      <c r="G33" s="4"/>
    </row>
    <row r="34" spans="2:8" x14ac:dyDescent="0.35">
      <c r="C34" s="2"/>
      <c r="D34" s="2"/>
      <c r="E34" s="2"/>
      <c r="F34" s="2"/>
      <c r="G34" s="4"/>
    </row>
    <row r="35" spans="2:8" x14ac:dyDescent="0.35">
      <c r="C35" s="2"/>
      <c r="D35" s="2"/>
      <c r="E35" s="2"/>
      <c r="F35" s="2"/>
      <c r="G35" s="4"/>
    </row>
    <row r="36" spans="2:8" x14ac:dyDescent="0.35">
      <c r="C36" s="2"/>
      <c r="D36" s="2"/>
      <c r="E36" s="2"/>
      <c r="F36" s="2"/>
      <c r="G36" s="4"/>
    </row>
    <row r="37" spans="2:8" x14ac:dyDescent="0.35">
      <c r="H37" s="3"/>
    </row>
    <row r="38" spans="2:8" x14ac:dyDescent="0.35">
      <c r="B38" s="5"/>
      <c r="D38" s="1"/>
      <c r="F38"/>
      <c r="H38" s="3"/>
    </row>
    <row r="39" spans="2:8" x14ac:dyDescent="0.35">
      <c r="H39" s="3"/>
    </row>
    <row r="40" spans="2:8" x14ac:dyDescent="0.35">
      <c r="H40" s="3"/>
    </row>
    <row r="42" spans="2:8" x14ac:dyDescent="0.35">
      <c r="H42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6" sqref="B2:B6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2023-08-27T19:52:10Z</dcterms:modified>
</cp:coreProperties>
</file>